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a79811ebbb64849" /></Relationships>
</file>

<file path=xl/workbook.xml><?xml version="1.0" encoding="utf-8"?>
<x:workbook xmlns:x="http://schemas.openxmlformats.org/spreadsheetml/2006/main">
  <x:sheets>
    <x:sheet xmlns:r="http://schemas.openxmlformats.org/officeDocument/2006/relationships" name="Summary" sheetId="1" r:id="R6b7d6793ce6b4b8d"/>
    <x:sheet xmlns:r="http://schemas.openxmlformats.org/officeDocument/2006/relationships" name="Fable cases" sheetId="2" r:id="R1096bbb4c40849b0"/>
    <x:sheet xmlns:r="http://schemas.openxmlformats.org/officeDocument/2006/relationships" name="Other runs" sheetId="3" r:id="Ra6337fa2f4da48e4"/>
    <x:sheet xmlns:r="http://schemas.openxmlformats.org/officeDocument/2006/relationships" name="Sources" sheetId="4" r:id="R4e32fd50db81416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000"/>
    <x:numFmt numFmtId="202" formatCode="$0.000000"/>
  </x:numFmts>
  <x:fonts count="5">
    <x:font>
      <x:sz val="11"/>
      <x:name val="Carlito"/>
    </x:font>
    <x:font>
      <x:sz val="10"/>
      <x:color rgb="FF28354A"/>
      <x:name val="Arial"/>
    </x:font>
    <x:font>
      <x:b/>
      <x:sz val="15"/>
      <x:color rgb="FF243866"/>
      <x:name val="Arial"/>
    </x:font>
    <x:font>
      <x:b/>
      <x:sz val="10"/>
      <x:color rgb="FFFFFFFF"/>
      <x:name val="Arial"/>
    </x:font>
    <x:font>
      <x:b/>
      <x:sz val="10"/>
      <x:color rgb="FF28354A"/>
      <x:name val="Arial"/>
    </x:font>
  </x:fonts>
  <x:fills count="4">
    <x:fill>
      <x:patternFill patternType="none"/>
    </x:fill>
    <x:fill>
      <x:patternFill patternType="gray125"/>
    </x:fill>
    <x:fill>
      <x:patternFill patternType="solid">
        <x:fgColor rgb="FF243866"/>
      </x:patternFill>
    </x:fill>
    <x:fill>
      <x:patternFill patternType="solid">
        <x:fgColor rgb="FFEDF1F5"/>
      </x:patternFill>
    </x:fill>
  </x:fills>
  <x:borders count="1">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center"/>
    </x:xf>
    <x:xf numFmtId="200" fontId="1" fillId="3"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1" fillId="3" borderId="0" xfId="0" applyNumberFormat="1" applyFont="1" applyFill="1" applyBorder="1" applyAlignment="1">
      <x:alignment horizontal="right" vertical="center"/>
    </x:xf>
    <x:xf numFmtId="200" fontId="1" fillId="3" borderId="0" xfId="0" applyNumberFormat="1" applyFont="1" applyFill="1" applyBorder="1" applyAlignment="1">
      <x:alignment horizontal="right" vertical="center"/>
    </x:xf>
    <x:xf numFmtId="0" fontId="1" fillId="0"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4" fillId="0" borderId="0" xfId="0" applyNumberFormat="1" applyFont="1" applyFill="1" applyBorder="1" applyAlignment="1">
      <x:alignment vertical="center"/>
    </x:xf>
  </x:cellXfs>
  <x:cellStyles count="1">
    <x:cellStyle name="Normal" xfId="0"/>
  </x:cellStyles>
  <x:dxfs count="4">
    <x:dxf>
      <x:font>
        <x:color rgb="FF80540D"/>
      </x:font>
      <x:fill>
        <x:patternFill patternType="solid">
          <x:bgColor rgb="FFFFF1D6"/>
        </x:patternFill>
      </x:fill>
    </x:dxf>
    <x:dxf>
      <x:fill>
        <x:patternFill patternType="solid">
          <x:bgColor rgb="FFEAEAEA"/>
        </x:patternFill>
      </x:fill>
    </x:dxf>
    <x:dxf>
      <x:fill>
        <x:patternFill patternType="solid">
          <x:bgColor rgb="FFFFF1D6"/>
        </x:patternFill>
      </x:fill>
    </x:dxf>
    <x:dxf>
      <x:fill>
        <x:patternFill patternType="solid">
          <x:bgColor rgb="FFFFF1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b7a83f62abf497b" /><Relationship Type="http://schemas.openxmlformats.org/officeDocument/2006/relationships/theme" Target="/xl/theme/theme1.xml" Id="Rf041461e265a4d8e" /><Relationship Type="http://schemas.openxmlformats.org/officeDocument/2006/relationships/sharedStrings" Target="/xl/sharedStrings.xml" Id="R49b09433f16c4448" /><Relationship Type="http://schemas.openxmlformats.org/officeDocument/2006/relationships/worksheet" Target="/xl/worksheets/sheet1.xml" Id="R6b7d6793ce6b4b8d" /><Relationship Type="http://schemas.openxmlformats.org/officeDocument/2006/relationships/worksheet" Target="/xl/worksheets/sheet2.xml" Id="R1096bbb4c40849b0" /><Relationship Type="http://schemas.openxmlformats.org/officeDocument/2006/relationships/worksheet" Target="/xl/worksheets/sheet3.xml" Id="Ra6337fa2f4da48e4" /><Relationship Type="http://schemas.openxmlformats.org/officeDocument/2006/relationships/worksheet" Target="/xl/worksheets/sheet4.xml" Id="R4e32fd50db81416d" /></Relationships>
</file>

<file path=xl/tables/table1.xml><?xml version="1.0" encoding="utf-8"?>
<x:table xmlns:x="http://schemas.openxmlformats.org/spreadsheetml/2006/main" id="1" name="FableCases" displayName="FableCases" ref="A7:L57" headerRowCount="1" totalsRowCount="0" totalsRowShown="0">
  <x:autoFilter ref="A7:L57"/>
  <x:tableColumns count="12">
    <x:tableColumn id="1" name="Case"/>
    <x:tableColumn id="2" name="Original patient message"/>
    <x:tableColumn id="3" name="Fable bucket"/>
    <x:tableColumn id="4" name="Original Fable rationale"/>
    <x:tableColumn id="5" name="Original CSV label"/>
    <x:tableColumn id="6" name="Original acceptedRoutes"/>
    <x:tableColumn id="7" name="Mapped physician bucket"/>
    <x:tableColumn id="8" name="Physician included"/>
    <x:tableColumn id="9" name="Physician agreement"/>
    <x:tableColumn id="10" name="CSV agreement"/>
    <x:tableColumn id="11" name="Reference note"/>
    <x:tableColumn id="12" name="Source key"/>
  </x:tableColumns>
  <x:tableStyleInfo name="TableStyleLight9" showFirstColumn="0" showLastColumn="0" showRowStripes="1" showColumnStripes="0"/>
</x:table>
</file>

<file path=xl/tables/table2.xml><?xml version="1.0" encoding="utf-8"?>
<x:table xmlns:x="http://schemas.openxmlformats.org/spreadsheetml/2006/main" id="2" name="ComparisonRuns" displayName="ComparisonRuns" ref="A7:L157" headerRowCount="1" totalsRowCount="0" totalsRowShown="0">
  <x:autoFilter ref="A7:L157"/>
  <x:tableColumns count="12">
    <x:tableColumn id="1" name="Run"/>
    <x:tableColumn id="2" name="Case"/>
    <x:tableColumn id="3" name="Original prediction"/>
    <x:tableColumn id="4" name="Scored three-bucket prediction"/>
    <x:tableColumn id="5" name="Mapped physician bucket"/>
    <x:tableColumn id="6" name="Physician included"/>
    <x:tableColumn id="7" name="Physician agreement"/>
    <x:tableColumn id="8" name="Original CSV label"/>
    <x:tableColumn id="9" name="CSV agreement"/>
    <x:tableColumn id="10" name="Original rationale"/>
    <x:tableColumn id="11" name="Source key"/>
    <x:tableColumn id="12" name="Comparison scope"/>
  </x:tableColumns>
  <x:tableStyleInfo name="TableStyleLight9" showFirstColumn="0" showLastColumn="0" showRowStripes="1" showColumnStripes="0"/>
</x:table>
</file>

<file path=xl/tables/table3.xml><?xml version="1.0" encoding="utf-8"?>
<x:table xmlns:x="http://schemas.openxmlformats.org/spreadsheetml/2006/main" id="3" name="SourceFiles" displayName="SourceFiles" ref="A7:D219" headerRowCount="1" totalsRowCount="0" totalsRowShown="0">
  <x:autoFilter ref="A7:D219"/>
  <x:tableColumns count="4">
    <x:tableColumn id="1" name="Source key"/>
    <x:tableColumn id="2" name="Repository file"/>
    <x:tableColumn id="3" name="SHA-256"/>
    <x:tableColumn id="4" name="Meaning"/>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642b0815cf046b5" /></Relationships>
</file>

<file path=xl/worksheets/_rels/sheet3.xml.rels>&#65279;<?xml version="1.0" encoding="utf-8"?><Relationships xmlns="http://schemas.openxmlformats.org/package/2006/relationships"><Relationship Type="http://schemas.openxmlformats.org/officeDocument/2006/relationships/table" Target="/xl/tables/table2.xml" Id="Rd5e6b0a8c9fe48be" /></Relationships>
</file>

<file path=xl/worksheets/_rels/sheet4.xml.rels>&#65279;<?xml version="1.0" encoding="utf-8"?><Relationships xmlns="http://schemas.openxmlformats.org/package/2006/relationships"><Relationship Type="http://schemas.openxmlformats.org/officeDocument/2006/relationships/table" Target="/xl/tables/table3.xml" Id="R24aba3e35a0a47cc" /></Relationships>
</file>

<file path=xl/worksheets/sheet1.xml><?xml version="1.0" encoding="utf-8"?>
<x:worksheet xmlns:x="http://schemas.openxmlformats.org/spreadsheetml/2006/main">
  <x:sheetPr>
    <x:tabColor rgb="FF243866"/>
  </x:sheetPr>
  <x:sheetViews>
    <x:sheetView showGridLines="0" workbookViewId="0"/>
  </x:sheetViews>
  <x:sheetFormatPr defaultRowHeight="15"/>
  <x:cols>
    <x:col min="1" max="1" width="40" hidden="0" customWidth="1"/>
    <x:col min="2" max="2" width="13" hidden="0" customWidth="1"/>
    <x:col min="3" max="3" width="12" hidden="0" customWidth="1"/>
    <x:col min="4" max="4" width="15" hidden="0" customWidth="1"/>
    <x:col min="5" max="5" width="15" hidden="0" customWidth="1"/>
    <x:col min="6" max="6" width="15" hidden="0" customWidth="1"/>
    <x:col min="7" max="7" width="13" hidden="0" customWidth="1"/>
    <x:col min="8" max="8" width="13" hidden="0" customWidth="1"/>
    <x:col min="9" max="9" width="13" hidden="0" customWidth="1"/>
  </x:cols>
  <x:sheetData>
    <x:row r="1">
      <x:c r="A1" s="2"/>
      <x:c r="B1" s="2"/>
      <x:c r="C1" s="2"/>
      <x:c r="D1" s="2"/>
      <x:c r="E1" s="2"/>
      <x:c r="F1" s="2"/>
      <x:c r="G1" s="2"/>
      <x:c r="H1" s="2"/>
      <x:c r="I1" s="2"/>
    </x:row>
    <x:row r="2" ht="25" customHeight="1">
      <x:c r="A2" s="3" t="str">
        <x:v>Counsel disposition evaluation</x:v>
      </x:c>
      <x:c r="B2" s="2"/>
      <x:c r="C2" s="2"/>
      <x:c r="D2" s="2"/>
      <x:c r="E2" s="2"/>
      <x:c r="F2" s="2"/>
      <x:c r="G2" s="2"/>
      <x:c r="H2" s="2"/>
      <x:c r="I2" s="2"/>
    </x:row>
    <x:row r="3">
      <x:c r="A3" s="2" t="str">
        <x:v>15 September 2026 | 50 synthetic messages | Current demonstration: Fable 5.1 low effort, three buckets</x:v>
      </x:c>
      <x:c r="B3" s="2"/>
      <x:c r="C3" s="2"/>
      <x:c r="D3" s="2"/>
      <x:c r="E3" s="2"/>
      <x:c r="F3" s="2"/>
      <x:c r="G3" s="2"/>
      <x:c r="H3" s="2"/>
      <x:c r="I3" s="2"/>
    </x:row>
    <x:row r="4">
      <x:c r="A4" s="2"/>
      <x:c r="B4" s="2"/>
      <x:c r="C4" s="2"/>
      <x:c r="D4" s="2"/>
      <x:c r="E4" s="2"/>
      <x:c r="F4" s="2"/>
      <x:c r="G4" s="2"/>
      <x:c r="H4" s="2"/>
      <x:c r="I4" s="2"/>
    </x:row>
    <x:row r="5" ht="34" customHeight="1">
      <x:c r="A5" s="7" t="str">
        <x:v>Run</x:v>
      </x:c>
      <x:c r="B5" s="7" t="str">
        <x:v>Completed</x:v>
      </x:c>
      <x:c r="C5" s="7" t="str">
        <x:v>Attempts</x:v>
      </x:c>
      <x:c r="D5" s="7" t="str">
        <x:v>Physician agree</x:v>
      </x:c>
      <x:c r="E5" s="7" t="str">
        <x:v>Physician n</x:v>
      </x:c>
      <x:c r="F5" s="7" t="str">
        <x:v>Physician rate</x:v>
      </x:c>
      <x:c r="G5" s="7" t="str">
        <x:v>CSV agree</x:v>
      </x:c>
      <x:c r="H5" s="7" t="str">
        <x:v>CSV n</x:v>
      </x:c>
      <x:c r="I5" s="7" t="str">
        <x:v>CSV rate</x:v>
      </x:c>
    </x:row>
    <x:row r="6" ht="28" customHeight="1">
      <x:c r="A6" s="11" t="str">
        <x:v>Fable low</x:v>
      </x:c>
      <x:c r="B6" s="14" t="n">
        <x:f>COUNTA('Fable cases'!$C$8:$C$57)</x:f>
        <x:v>50</x:v>
      </x:c>
      <x:c r="C6" s="14" t="n">
        <x:f>COUNTA('Fable cases'!$A$8:$A$57)</x:f>
        <x:v>50</x:v>
      </x:c>
      <x:c r="D6" s="14" t="n">
        <x:f>SUM('Fable cases'!$I$8:$I$57)</x:f>
        <x:v>44</x:v>
      </x:c>
      <x:c r="E6" s="14" t="n">
        <x:f>SUM('Fable cases'!$H$8:$H$57)</x:f>
        <x:v>49</x:v>
      </x:c>
      <x:c r="F6" s="15" t="n">
        <x:f>D6/E6</x:f>
        <x:v>0.8979591836734694</x:v>
      </x:c>
      <x:c r="G6" s="14" t="n">
        <x:f>SUM('Fable cases'!$J$8:$J$57)</x:f>
        <x:v>31</x:v>
      </x:c>
      <x:c r="H6" s="14" t="n">
        <x:f>C6</x:f>
        <x:v>50</x:v>
      </x:c>
      <x:c r="I6" s="15" t="n">
        <x:f>G6/H6</x:f>
        <x:v>0.62</x:v>
      </x:c>
    </x:row>
    <x:row r="7" ht="28" customHeight="1">
      <x:c r="A7" s="2" t="str">
        <x:v>Opus low</x:v>
      </x:c>
      <x:c r="B7" s="16" t="n">
        <x:f>COUNTIFS('Other runs'!$A$8:$A$157,"Opus low")</x:f>
        <x:v>50</x:v>
      </x:c>
      <x:c r="C7" s="16" t="n">
        <x:f>B7</x:f>
        <x:v>50</x:v>
      </x:c>
      <x:c r="D7" s="16" t="n">
        <x:f>SUMIFS('Other runs'!$G$8:$G$157,'Other runs'!$A$8:$A$157,"Opus low")</x:f>
        <x:v>42</x:v>
      </x:c>
      <x:c r="E7" s="16" t="n">
        <x:f>SUMIFS('Other runs'!$F$8:$F$157,'Other runs'!$A$8:$A$157,"Opus low")</x:f>
        <x:v>49</x:v>
      </x:c>
      <x:c r="F7" s="17" t="n">
        <x:f>D7/E7</x:f>
        <x:v>0.8571428571428571</x:v>
      </x:c>
      <x:c r="G7" s="16" t="n">
        <x:f>SUMIFS('Other runs'!$I$8:$I$157,'Other runs'!$A$8:$A$157,"Opus low")</x:f>
        <x:v>33</x:v>
      </x:c>
      <x:c r="H7" s="16" t="n">
        <x:f>C7</x:f>
        <x:v>50</x:v>
      </x:c>
      <x:c r="I7" s="17" t="n">
        <x:f>G7/H7</x:f>
        <x:v>0.66</x:v>
      </x:c>
    </x:row>
    <x:row r="8" ht="28" customHeight="1">
      <x:c r="A8" s="2" t="str">
        <x:v>Fable max</x:v>
      </x:c>
      <x:c r="B8" s="16" t="n">
        <x:f>COUNTIFS('Other runs'!$A$8:$A$157,"Fable max")</x:f>
        <x:v>50</x:v>
      </x:c>
      <x:c r="C8" s="16" t="n">
        <x:f>B8</x:f>
        <x:v>50</x:v>
      </x:c>
      <x:c r="D8" s="16" t="n">
        <x:f>SUMIFS('Other runs'!$G$8:$G$157,'Other runs'!$A$8:$A$157,"Fable max")</x:f>
        <x:v>42</x:v>
      </x:c>
      <x:c r="E8" s="16" t="n">
        <x:f>SUMIFS('Other runs'!$F$8:$F$157,'Other runs'!$A$8:$A$157,"Fable max")</x:f>
        <x:v>49</x:v>
      </x:c>
      <x:c r="F8" s="17" t="n">
        <x:f>D8/E8</x:f>
        <x:v>0.8571428571428571</x:v>
      </x:c>
      <x:c r="G8" s="16" t="n">
        <x:f>SUMIFS('Other runs'!$I$8:$I$157,'Other runs'!$A$8:$A$157,"Fable max")</x:f>
        <x:v>31</x:v>
      </x:c>
      <x:c r="H8" s="16" t="n">
        <x:f>C8</x:f>
        <x:v>50</x:v>
      </x:c>
      <x:c r="I8" s="17" t="n">
        <x:f>G8/H8</x:f>
        <x:v>0.62</x:v>
      </x:c>
    </x:row>
    <x:row r="9" ht="28" customHeight="1">
      <x:c r="A9" s="2" t="str">
        <x:v>Five-way collapsed (historical)</x:v>
      </x:c>
      <x:c r="B9" s="16" t="n">
        <x:f>COUNTIFS('Other runs'!$A$8:$A$157,"Five-way collapsed")</x:f>
        <x:v>50</x:v>
      </x:c>
      <x:c r="C9" s="16" t="n">
        <x:f>B9</x:f>
        <x:v>50</x:v>
      </x:c>
      <x:c r="D9" s="16" t="n">
        <x:f>SUMIFS('Other runs'!$G$8:$G$157,'Other runs'!$A$8:$A$157,"Five-way collapsed")</x:f>
        <x:v>46</x:v>
      </x:c>
      <x:c r="E9" s="16" t="n">
        <x:f>SUMIFS('Other runs'!$F$8:$F$157,'Other runs'!$A$8:$A$157,"Five-way collapsed")</x:f>
        <x:v>49</x:v>
      </x:c>
      <x:c r="F9" s="17" t="n">
        <x:f>D9/E9</x:f>
        <x:v>0.9387755102040817</x:v>
      </x:c>
      <x:c r="G9" s="16" t="n">
        <x:f>SUMIFS('Other runs'!$I$8:$I$157,'Other runs'!$A$8:$A$157,"Five-way collapsed")</x:f>
        <x:v>35</x:v>
      </x:c>
      <x:c r="H9" s="16" t="n">
        <x:f>C9</x:f>
        <x:v>50</x:v>
      </x:c>
      <x:c r="I9" s="17" t="n">
        <x:f>G9/H9</x:f>
        <x:v>0.7</x:v>
      </x:c>
    </x:row>
    <x:row r="10" ht="28" customHeight="1">
      <x:c r="A10" s="2" t="str">
        <x:v>V25 exact routes (historical)</x:v>
      </x:c>
      <x:c r="B10" s="16" t="n">
        <x:v>27</x:v>
      </x:c>
      <x:c r="C10" s="16" t="n">
        <x:v>50</x:v>
      </x:c>
      <x:c r="D10" s="16" t="n">
        <x:v>21</x:v>
      </x:c>
      <x:c r="E10" s="16" t="n">
        <x:v>49</x:v>
      </x:c>
      <x:c r="F10" s="17" t="n">
        <x:f>D10/E10</x:f>
        <x:v>0.42857142857142855</x:v>
      </x:c>
      <x:c r="G10" s="16" t="str">
        <x:v>not scored</x:v>
      </x:c>
      <x:c r="H10" s="16" t="str">
        <x:v>not scored</x:v>
      </x:c>
      <x:c r="I10" s="16" t="str">
        <x:v>not scored</x:v>
      </x:c>
    </x:row>
    <x:row r="11">
      <x:c r="A11" s="2"/>
      <x:c r="B11" s="2"/>
      <x:c r="C11" s="2"/>
      <x:c r="D11" s="2"/>
      <x:c r="E11" s="2"/>
      <x:c r="F11" s="2"/>
      <x:c r="G11" s="2"/>
      <x:c r="H11" s="2"/>
      <x:c r="I11" s="2"/>
    </x:row>
    <x:row r="12">
      <x:c r="A12" s="2"/>
      <x:c r="B12" s="2"/>
      <x:c r="C12" s="2"/>
      <x:c r="D12" s="2"/>
      <x:c r="E12" s="2"/>
      <x:c r="F12" s="2"/>
      <x:c r="G12" s="2"/>
      <x:c r="H12" s="2"/>
      <x:c r="I12" s="2"/>
    </x:row>
    <x:row r="13" ht="34" customHeight="1">
      <x:c r="A13" s="7" t="str">
        <x:v>Fresh three-bucket run</x:v>
      </x:c>
      <x:c r="B13" s="7" t="str">
        <x:v>Median s</x:v>
      </x:c>
      <x:c r="C13" s="7" t="str">
        <x:v>p95 s</x:v>
      </x:c>
      <x:c r="D13" s="7" t="str">
        <x:v>Estimated USD</x:v>
      </x:c>
      <x:c r="E13" s="7" t="str">
        <x:v>Accounted USD</x:v>
      </x:c>
      <x:c r="F13" s="2"/>
      <x:c r="G13" s="2"/>
      <x:c r="H13" s="2"/>
      <x:c r="I13" s="2"/>
    </x:row>
    <x:row r="14" ht="26" customHeight="1">
      <x:c r="A14" s="2" t="str">
        <x:v>Fable low</x:v>
      </x:c>
      <x:c r="B14" s="18" t="n">
        <x:v>3.7995</x:v>
      </x:c>
      <x:c r="C14" s="18" t="n">
        <x:v>4.71</x:v>
      </x:c>
      <x:c r="D14" s="19" t="n">
        <x:v>0.33878</x:v>
      </x:c>
      <x:c r="E14" s="19" t="n">
        <x:v>0.43531</x:v>
      </x:c>
      <x:c r="F14" s="2"/>
      <x:c r="G14" s="2"/>
      <x:c r="H14" s="2"/>
      <x:c r="I14" s="2"/>
    </x:row>
    <x:row r="15" ht="26" customHeight="1">
      <x:c r="A15" s="2" t="str">
        <x:v>Opus low</x:v>
      </x:c>
      <x:c r="B15" s="18" t="n">
        <x:v>2.3015</x:v>
      </x:c>
      <x:c r="C15" s="18" t="n">
        <x:v>3.526</x:v>
      </x:c>
      <x:c r="D15" s="19" t="n">
        <x:v>0.154065</x:v>
      </x:c>
      <x:c r="E15" s="19" t="n">
        <x:v>0.20183</x:v>
      </x:c>
      <x:c r="F15" s="2"/>
      <x:c r="G15" s="2"/>
      <x:c r="H15" s="2"/>
      <x:c r="I15" s="2"/>
    </x:row>
    <x:row r="16" ht="26" customHeight="1">
      <x:c r="A16" s="2" t="str">
        <x:v>Fable max</x:v>
      </x:c>
      <x:c r="B16" s="18" t="n">
        <x:v>5.3485</x:v>
      </x:c>
      <x:c r="C16" s="18" t="n">
        <x:v>14.851</x:v>
      </x:c>
      <x:c r="D16" s="19" t="n">
        <x:v>0.92068</x:v>
      </x:c>
      <x:c r="E16" s="19" t="n">
        <x:v>1.01721</x:v>
      </x:c>
      <x:c r="F16" s="2"/>
      <x:c r="G16" s="2"/>
      <x:c r="H16" s="2"/>
      <x:c r="I16" s="2"/>
    </x:row>
    <x:row r="17">
      <x:c r="A17" s="2"/>
      <x:c r="B17" s="2"/>
      <x:c r="C17" s="2"/>
      <x:c r="D17" s="2"/>
      <x:c r="E17" s="2"/>
      <x:c r="F17" s="2"/>
      <x:c r="G17" s="2"/>
      <x:c r="H17" s="2"/>
      <x:c r="I17" s="2"/>
    </x:row>
    <x:row r="18" ht="24" customHeight="1">
      <x:c r="A18" s="2" t="str">
        <x:v>Timing is provider round trip, not browser paint. Costs are token estimates for these runs, not project totals or invoices.</x:v>
      </x:c>
      <x:c r="B18" s="2"/>
      <x:c r="C18" s="2"/>
      <x:c r="D18" s="2"/>
      <x:c r="E18" s="2"/>
      <x:c r="F18" s="2"/>
      <x:c r="G18" s="2"/>
      <x:c r="H18" s="2"/>
      <x:c r="I18" s="2"/>
    </x:row>
    <x:row r="19" ht="24" customHeight="1">
      <x:c r="A19" s="2"/>
      <x:c r="B19" s="2"/>
      <x:c r="C19" s="2"/>
      <x:c r="D19" s="2"/>
      <x:c r="E19" s="2"/>
      <x:c r="F19" s="2"/>
      <x:c r="G19" s="2"/>
      <x:c r="H19" s="2"/>
      <x:c r="I19" s="2"/>
    </x:row>
    <x:row r="20" ht="24" customHeight="1">
      <x:c r="A20" s="20" t="str">
        <x:v>Interpretation</x:v>
      </x:c>
      <x:c r="B20" s="2"/>
      <x:c r="C20" s="2"/>
      <x:c r="D20" s="2"/>
      <x:c r="E20" s="2"/>
      <x:c r="F20" s="2"/>
      <x:c r="G20" s="2"/>
      <x:c r="H20" s="2"/>
      <x:c r="I20" s="2"/>
    </x:row>
    <x:row r="21" ht="24" customHeight="1">
      <x:c r="A21" s="2" t="str">
        <x:v>Physician reference: developer-physician review of the incumbent, reconstructed from saved runs; not blinded held-out gold.</x:v>
      </x:c>
      <x:c r="B21" s="2"/>
      <x:c r="C21" s="2"/>
      <x:c r="D21" s="2"/>
      <x:c r="E21" s="2"/>
      <x:c r="F21" s="2"/>
      <x:c r="G21" s="2"/>
      <x:c r="H21" s="2"/>
      <x:c r="I21" s="2"/>
    </x:row>
    <x:row r="22" ht="24" customHeight="1">
      <x:c r="A22" s="2" t="str">
        <x:v>C25 has no exhaustive accepted-route set. It remains in 50 attempts and CSV scoring, outside physician agreement.</x:v>
      </x:c>
      <x:c r="B22" s="2"/>
      <x:c r="C22" s="2"/>
      <x:c r="D22" s="2"/>
      <x:c r="E22" s="2"/>
      <x:c r="F22" s="2"/>
      <x:c r="G22" s="2"/>
      <x:c r="H22" s="2"/>
      <x:c r="I22" s="2"/>
    </x:row>
    <x:row r="23" ht="24" customHeight="1">
      <x:c r="A23" s="2" t="str">
        <x:v>Fable low disagreements: C22, C32, C34, C38, C47. All predict self-care where the reference expects async care.</x:v>
      </x:c>
      <x:c r="B23" s="2"/>
      <x:c r="C23" s="2"/>
      <x:c r="D23" s="2"/>
      <x:c r="E23" s="2"/>
      <x:c r="F23" s="2"/>
      <x:c r="G23" s="2"/>
      <x:c r="H23" s="2"/>
      <x:c r="I23" s="2"/>
    </x:row>
    <x:row r="24" ht="24" customHeight="1">
      <x:c r="A24" s="2" t="str">
        <x:v>Higher reference agreement does not prove a better clinical policy for contested OTC/self-care cases.</x:v>
      </x:c>
      <x:c r="B24" s="2"/>
      <x:c r="C24" s="2"/>
      <x:c r="D24" s="2"/>
      <x:c r="E24" s="2"/>
      <x:c r="F24" s="2"/>
      <x:c r="G24" s="2"/>
      <x:c r="H24" s="2"/>
      <x:c r="I24" s="2"/>
    </x:row>
    <x:row r="25" ht="24" customHeight="1">
      <x:c r="A25" s="2" t="str">
        <x:v>V25: 27/50 complete, 21/49 delivered exact-route agreement; 21/27 is conditional. Different contract from the current router.</x:v>
      </x:c>
      <x:c r="B25" s="2"/>
      <x:c r="C25" s="2"/>
      <x:c r="D25" s="2"/>
      <x:c r="E25" s="2"/>
      <x:c r="F25" s="2"/>
      <x:c r="G25" s="2"/>
      <x:c r="H25" s="2"/>
      <x:c r="I25" s="2"/>
    </x:row>
    <x:row r="26" ht="24" customHeight="1">
      <x:c r="A26" s="2" t="str">
        <x:v>Five-way Opus: 35/49 originally; 46/49 after collapsing async priorities and urgent settings. Eleven distinctions disappear.</x:v>
      </x:c>
      <x:c r="B26" s="2"/>
      <x:c r="C26" s="2"/>
      <x:c r="D26" s="2"/>
      <x:c r="E26" s="2"/>
      <x:c r="F26" s="2"/>
      <x:c r="G26" s="2"/>
      <x:c r="H26" s="2"/>
      <x:c r="I26" s="2"/>
    </x:row>
    <x:row r="27" ht="24" customHeight="1">
      <x:c r="A27" s="2" t="str">
        <x:v>Max effort: two fewer physician agreements; unchanged CSV score; greater observed cost and latency. Single pass only.</x:v>
      </x:c>
      <x:c r="B27" s="2"/>
      <x:c r="C27" s="2"/>
      <x:c r="D27" s="2"/>
      <x:c r="E27" s="2"/>
      <x:c r="F27" s="2"/>
      <x:c r="G27" s="2"/>
      <x:c r="H27" s="2"/>
      <x:c r="I27" s="2"/>
    </x:row>
    <x:row r="28" ht="24" customHeight="1">
      <x:c r="A28" s="2" t="str">
        <x:v>Frozen outputs and rationales remain unchanged. The workbook performs offline scoring; no new inference or adjudication.</x:v>
      </x:c>
      <x:c r="B28" s="2"/>
      <x:c r="C28" s="2"/>
      <x:c r="D28" s="2"/>
      <x:c r="E28" s="2"/>
      <x:c r="F28" s="2"/>
      <x:c r="G28" s="2"/>
      <x:c r="H28" s="2"/>
      <x:c r="I28" s="2"/>
    </x:row>
    <x:row r="29">
      <x:c r="A29" s="2"/>
      <x:c r="B29" s="2"/>
      <x:c r="C29" s="2"/>
      <x:c r="D29" s="2"/>
      <x:c r="E29" s="2"/>
      <x:c r="F29" s="2"/>
      <x:c r="G29" s="2"/>
      <x:c r="H29" s="2"/>
      <x:c r="I29" s="2"/>
    </x:row>
    <x:row r="30">
      <x:c r="A30" s="2"/>
      <x:c r="B30" s="2"/>
      <x:c r="C30" s="2"/>
      <x:c r="D30" s="2"/>
      <x:c r="E30" s="2"/>
      <x:c r="F30" s="2"/>
      <x:c r="G30" s="2"/>
      <x:c r="H30" s="2"/>
      <x:c r="I30" s="2"/>
    </x:row>
    <x:row r="31">
      <x:c r="A31" s="2"/>
      <x:c r="B31" s="2"/>
      <x:c r="C31" s="2"/>
      <x:c r="D31" s="2"/>
      <x:c r="E31" s="2"/>
      <x:c r="F31" s="2"/>
      <x:c r="G31" s="2"/>
      <x:c r="H31" s="2"/>
      <x:c r="I31" s="2"/>
    </x:row>
    <x:row r="32">
      <x:c r="A32" s="2"/>
      <x:c r="B32" s="2"/>
      <x:c r="C32" s="2"/>
      <x:c r="D32" s="2"/>
      <x:c r="E32" s="2"/>
      <x:c r="F32" s="2"/>
      <x:c r="G32" s="2"/>
      <x:c r="H32" s="2"/>
      <x:c r="I32" s="2"/>
    </x:row>
    <x:row r="33">
      <x:c r="A33" s="2"/>
      <x:c r="B33" s="2"/>
      <x:c r="C33" s="2"/>
      <x:c r="D33" s="2"/>
      <x:c r="E33" s="2"/>
      <x:c r="F33" s="2"/>
      <x:c r="G33" s="2"/>
      <x:c r="H33" s="2"/>
      <x:c r="I33" s="2"/>
    </x:row>
    <x:row r="34">
      <x:c r="A34" s="2"/>
      <x:c r="B34" s="2"/>
      <x:c r="C34" s="2"/>
      <x:c r="D34" s="2"/>
      <x:c r="E34" s="2"/>
      <x:c r="F34" s="2"/>
      <x:c r="G34" s="2"/>
      <x:c r="H34" s="2"/>
      <x:c r="I34" s="2"/>
    </x:row>
    <x:row r="35">
      <x:c r="A35" s="2"/>
      <x:c r="B35" s="2"/>
      <x:c r="C35" s="2"/>
      <x:c r="D35" s="2"/>
      <x:c r="E35" s="2"/>
      <x:c r="F35" s="2"/>
      <x:c r="G35" s="2"/>
      <x:c r="H35" s="2"/>
      <x:c r="I35"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8" hidden="0" customWidth="1"/>
    <x:col min="2" max="2" width="58" hidden="0" customWidth="1"/>
    <x:col min="3" max="3" width="25" hidden="0" customWidth="1"/>
    <x:col min="4" max="4" width="62" hidden="0" customWidth="1"/>
    <x:col min="5" max="5" width="25" hidden="0" customWidth="1"/>
    <x:col min="6" max="6" width="33" hidden="0" customWidth="1"/>
    <x:col min="7" max="7" width="25" hidden="0" customWidth="1"/>
    <x:col min="8" max="8" width="12" hidden="0" customWidth="1"/>
    <x:col min="9" max="9" width="12" hidden="0" customWidth="1"/>
    <x:col min="10" max="10" width="12" hidden="0" customWidth="1"/>
    <x:col min="11" max="11" width="45" hidden="0" customWidth="1"/>
    <x:col min="12" max="12" width="23" hidden="0" customWidth="1"/>
  </x:cols>
  <x:sheetData>
    <x:row r="1">
      <x:c r="A1" s="2"/>
      <x:c r="B1" s="2"/>
      <x:c r="C1" s="2"/>
      <x:c r="D1" s="2"/>
      <x:c r="E1" s="2"/>
      <x:c r="F1" s="2"/>
      <x:c r="G1" s="2"/>
      <x:c r="H1" s="2"/>
      <x:c r="I1" s="2"/>
      <x:c r="J1" s="2"/>
      <x:c r="K1" s="2"/>
      <x:c r="L1" s="2"/>
    </x:row>
    <x:row r="2" ht="25" customHeight="1">
      <x:c r="A2" s="3" t="str">
        <x:v>Fable 5.1 low effort case evaluation</x:v>
      </x:c>
      <x:c r="B2" s="2"/>
      <x:c r="C2" s="2"/>
      <x:c r="D2" s="2"/>
      <x:c r="E2" s="2"/>
      <x:c r="F2" s="2"/>
      <x:c r="G2" s="2"/>
      <x:c r="H2" s="2"/>
      <x:c r="I2" s="2"/>
      <x:c r="J2" s="2"/>
      <x:c r="K2" s="2"/>
      <x:c r="L2" s="2"/>
    </x:row>
    <x:row r="3">
      <x:c r="A3" s="2"/>
      <x:c r="B3" s="2"/>
      <x:c r="C3" s="2"/>
      <x:c r="D3" s="2"/>
      <x:c r="E3" s="2"/>
      <x:c r="F3" s="2"/>
      <x:c r="G3" s="2"/>
      <x:c r="H3" s="2"/>
      <x:c r="I3" s="2"/>
      <x:c r="J3" s="2"/>
      <x:c r="K3" s="2"/>
      <x:c r="L3" s="2"/>
    </x:row>
    <x:row r="4">
      <x:c r="A4" s="2" t="str">
        <x:v>Frozen one-shot outputs. Physician and CSV agreement are calculated separately. C25 remains in all 50 attempts.</x:v>
      </x:c>
      <x:c r="B4" s="2"/>
      <x:c r="C4" s="2"/>
      <x:c r="D4" s="2"/>
      <x:c r="E4" s="2"/>
      <x:c r="F4" s="2"/>
      <x:c r="G4" s="2"/>
      <x:c r="H4" s="2"/>
      <x:c r="I4" s="2"/>
      <x:c r="J4" s="2"/>
      <x:c r="K4" s="2"/>
      <x:c r="L4" s="2"/>
    </x:row>
    <x:row r="5">
      <x:c r="A5" s="2" t="str">
        <x:v>I = physician agreement; J = original CSV agreement. 1 means agree, 0 means disagree, excluded means no physician target.</x:v>
      </x:c>
      <x:c r="B5" s="2"/>
      <x:c r="C5" s="2"/>
      <x:c r="D5" s="2"/>
      <x:c r="E5" s="2"/>
      <x:c r="F5" s="2"/>
      <x:c r="G5" s="2"/>
      <x:c r="H5" s="2"/>
      <x:c r="I5" s="2"/>
      <x:c r="J5" s="2"/>
      <x:c r="K5" s="2"/>
      <x:c r="L5" s="2"/>
    </x:row>
    <x:row r="6">
      <x:c r="A6" s="2"/>
      <x:c r="B6" s="2"/>
      <x:c r="C6" s="2"/>
      <x:c r="D6" s="2"/>
      <x:c r="E6" s="2"/>
      <x:c r="F6" s="2"/>
      <x:c r="G6" s="2"/>
      <x:c r="H6" s="2"/>
      <x:c r="I6" s="2"/>
      <x:c r="J6" s="2"/>
      <x:c r="K6" s="2"/>
      <x:c r="L6" s="2"/>
    </x:row>
    <x:row r="7" ht="34" customHeight="1">
      <x:c r="A7" s="7" t="str">
        <x:v>Case</x:v>
      </x:c>
      <x:c r="B7" s="7" t="str">
        <x:v>Original patient message</x:v>
      </x:c>
      <x:c r="C7" s="7" t="str">
        <x:v>Fable bucket</x:v>
      </x:c>
      <x:c r="D7" s="7" t="str">
        <x:v>Original Fable rationale</x:v>
      </x:c>
      <x:c r="E7" s="7" t="str">
        <x:v>Original CSV label</x:v>
      </x:c>
      <x:c r="F7" s="7" t="str">
        <x:v>Original acceptedRoutes</x:v>
      </x:c>
      <x:c r="G7" s="7" t="str">
        <x:v>Mapped physician bucket</x:v>
      </x:c>
      <x:c r="H7" s="7" t="str">
        <x:v>Physician included</x:v>
      </x:c>
      <x:c r="I7" s="7" t="str">
        <x:v>Physician agreement</x:v>
      </x:c>
      <x:c r="J7" s="7" t="str">
        <x:v>CSV agreement</x:v>
      </x:c>
      <x:c r="K7" s="7" t="str">
        <x:v>Reference note</x:v>
      </x:c>
      <x:c r="L7" s="7" t="str">
        <x:v>Source key</x:v>
      </x:c>
    </x:row>
    <x:row r="8" ht="80" customHeight="1">
      <x:c r="A8" s="9" t="str">
        <x:v>C01</x:v>
      </x:c>
      <x:c r="B8" s="9" t="str">
        <x:v>Hi, I've had a runny nose and a mild sore throat for about 2 days. No fever, I'm still eating and drinking fine. Should I be worried?</x:v>
      </x:c>
      <x:c r="C8" s="9" t="str">
        <x:v>SELF_CARE</x:v>
      </x:c>
      <x:c r="D8" s="9" t="str">
        <x:v>Mild upper respiratory symptoms for 2 days with no fever and normal intake; no red flags. Rest, fluids, OTC symptom relief; seek care if fever, breathing difficulty, or symptoms worsen/persist beyond ~10 days.</x:v>
      </x:c>
      <x:c r="E8" s="9" t="str">
        <x:v>SELF_CARE</x:v>
      </x:c>
      <x:c r="F8" s="9" t="str">
        <x:v>["SELF_CARE"]</x:v>
      </x:c>
      <x:c r="G8" s="9" t="str">
        <x:v>SELF_CARE</x:v>
      </x:c>
      <x:c r="H8" s="10" t="n">
        <x:f>IF(F8="null",0,1)</x:f>
        <x:v>1</x:v>
      </x:c>
      <x:c r="I8" s="10" t="n">
        <x:f>IF(H8=0,"excluded",IF(C8=G8,1,0))</x:f>
        <x:v>1</x:v>
      </x:c>
      <x:c r="J8" s="10" t="n">
        <x:f>IF(C8=E8,1,0)</x:f>
        <x:v>1</x:v>
      </x:c>
      <x:c r="K8" s="9" t="str"/>
      <x:c r="L8" s="9" t="str">
        <x:v>Fable low C01</x:v>
      </x:c>
    </x:row>
    <x:row r="9" ht="80" customHeight="1">
      <x:c r="A9" s="9" t="str">
        <x:v>C02</x:v>
      </x:c>
      <x:c r="B9" s="9" t="str">
        <x:v>45M. I've had crushing pressure in the center of my chest for the last 30 minutes, it's going into my left arm and I feel sweaty and a bit sick to my stomach. I have high cholesterol.</x:v>
      </x:c>
      <x:c r="C9" s="9" t="str">
        <x:v>URGENT_ESCALATION</x:v>
      </x:c>
      <x:c r="D9" s="9" t="str">
        <x:v>Classic acute coronary syndrome presentation: crushing central chest pressure &gt;30 min radiating to left arm with diaphoresis and nausea in a 45M with hyperlipidemia. Requires emergency services (911) immediately.</x:v>
      </x:c>
      <x:c r="E9" s="9" t="str">
        <x:v>URGENT_ESCALATION</x:v>
      </x:c>
      <x:c r="F9" s="9" t="str">
        <x:v>["EMERGENCY_NOW"]</x:v>
      </x:c>
      <x:c r="G9" s="9" t="str">
        <x:v>URGENT_ESCALATION</x:v>
      </x:c>
      <x:c r="H9" s="10" t="n">
        <x:f>IF(F9="null",0,1)</x:f>
        <x:v>1</x:v>
      </x:c>
      <x:c r="I9" s="10" t="n">
        <x:f>IF(H9=0,"excluded",IF(C9=G9,1,0))</x:f>
        <x:v>1</x:v>
      </x:c>
      <x:c r="J9" s="10" t="n">
        <x:f>IF(C9=E9,1,0)</x:f>
        <x:v>1</x:v>
      </x:c>
      <x:c r="K9" s="9" t="str"/>
      <x:c r="L9" s="9" t="str">
        <x:v>Fable low C02</x:v>
      </x:c>
    </x:row>
    <x:row r="10" ht="80" customHeight="1">
      <x:c r="A10" s="9" t="str">
        <x:v>C03</x:v>
      </x:c>
      <x:c r="B10" s="9" t="str">
        <x:v>28F. It burns when I pee and I'm going a lot more often, started 2 days ago. No fever, no back pain. I'm not pregnant. I've had UTIs before.</x:v>
      </x:c>
      <x:c r="C10" s="9" t="str">
        <x:v>ASYNC_PHYSICIAN</x:v>
      </x:c>
      <x:c r="D10" s="9" t="str">
        <x:v>Uncomplicated UTI symptoms in non-pregnant female without fever or flank pain; needs prescription antibiotics but no same-day red flags.</x:v>
      </x:c>
      <x:c r="E10" s="9" t="str">
        <x:v>ASYNC_PHYSICIAN</x:v>
      </x:c>
      <x:c r="F10" s="9" t="str">
        <x:v>["PRIORITY_ASYNC","STANDARD_ASYNC"]</x:v>
      </x:c>
      <x:c r="G10" s="9" t="str">
        <x:v>ASYNC_PHYSICIAN</x:v>
      </x:c>
      <x:c r="H10" s="10" t="n">
        <x:f>IF(F10="null",0,1)</x:f>
        <x:v>1</x:v>
      </x:c>
      <x:c r="I10" s="10" t="n">
        <x:f>IF(H10=0,"excluded",IF(C10=G10,1,0))</x:f>
        <x:v>1</x:v>
      </x:c>
      <x:c r="J10" s="10" t="n">
        <x:f>IF(C10=E10,1,0)</x:f>
        <x:v>1</x:v>
      </x:c>
      <x:c r="K10" s="9" t="str">
        <x:v>Stored response predates explicit async priority; do not invent a priority annotation.</x:v>
      </x:c>
      <x:c r="L10" s="9" t="str">
        <x:v>Fable low C03</x:v>
      </x:c>
    </x:row>
    <x:row r="11" ht="80" customHeight="1">
      <x:c r="A11" s="9" t="str">
        <x:v>C04</x:v>
      </x:c>
      <x:c r="B11" s="9" t="str">
        <x:v>62F, I'm diabetic. I got a small cut on the bottom of my foot about 4 days ago and now the skin around it is red and a little swollen. No fever. It's tender when I press on it.</x:v>
      </x:c>
      <x:c r="C11" s="9" t="str">
        <x:v>URGENT_ESCALATION</x:v>
      </x:c>
      <x:c r="D11" s="9" t="str">
        <x:v>Diabetic foot wound with spreading redness, swelling, and tenderness suggests developing infection/cellulitis; diabetic foot infections can progress rapidly and require same-day in-person evaluation.</x:v>
      </x:c>
      <x:c r="E11" s="9" t="str">
        <x:v>ASYNC_PHYSICIAN</x:v>
      </x:c>
      <x:c r="F11" s="9" t="str">
        <x:v>["SAME_DAY_IN_PERSON"]</x:v>
      </x:c>
      <x:c r="G11" s="9" t="str">
        <x:v>URGENT_ESCALATION</x:v>
      </x:c>
      <x:c r="H11" s="10" t="n">
        <x:f>IF(F11="null",0,1)</x:f>
        <x:v>1</x:v>
      </x:c>
      <x:c r="I11" s="10" t="n">
        <x:f>IF(H11=0,"excluded",IF(C11=G11,1,0))</x:f>
        <x:v>1</x:v>
      </x:c>
      <x:c r="J11" s="10" t="n">
        <x:f>IF(C11=E11,1,0)</x:f>
        <x:v>0</x:v>
      </x:c>
      <x:c r="K11" s="9" t="str"/>
      <x:c r="L11" s="9" t="str">
        <x:v>Fable low C04</x:v>
      </x:c>
    </x:row>
    <x:row r="12" ht="80" customHeight="1">
      <x:c r="A12" s="9" t="str">
        <x:v>C05</x:v>
      </x:c>
      <x:c r="B12" s="9" t="str">
        <x:v>I've been feeling really hopeless for a few weeks now. Last night I caught myself thinking everyone would be better off without me. I don't know what to do.</x:v>
      </x:c>
      <x:c r="C12" s="9" t="str">
        <x:v>URGENT_ESCALATION</x:v>
      </x:c>
      <x:c r="D12" s="9" t="str">
        <x:v>Weeks of hopelessness with a new thought that others would be better off without them is passive suicidal ideation, a same-day safety red flag requiring immediate live clinical contact and risk assessment, not asynchronous review.</x:v>
      </x:c>
      <x:c r="E12" s="9" t="str">
        <x:v>URGENT_ESCALATION</x:v>
      </x:c>
      <x:c r="F12" s="9" t="str">
        <x:v>["EMERGENCY_NOW"]</x:v>
      </x:c>
      <x:c r="G12" s="9" t="str">
        <x:v>URGENT_ESCALATION</x:v>
      </x:c>
      <x:c r="H12" s="10" t="n">
        <x:f>IF(F12="null",0,1)</x:f>
        <x:v>1</x:v>
      </x:c>
      <x:c r="I12" s="10" t="n">
        <x:f>IF(H12=0,"excluded",IF(C12=G12,1,0))</x:f>
        <x:v>1</x:v>
      </x:c>
      <x:c r="J12" s="10" t="n">
        <x:f>IF(C12=E12,1,0)</x:f>
        <x:v>1</x:v>
      </x:c>
      <x:c r="K12" s="9" t="str"/>
      <x:c r="L12" s="9" t="str">
        <x:v>Fable low C05</x:v>
      </x:c>
    </x:row>
    <x:row r="13" ht="80" customHeight="1">
      <x:c r="A13" s="9" t="str">
        <x:v>C06</x:v>
      </x:c>
      <x:c r="B13" s="9" t="str">
        <x:v>Could I get a refill on my losartan? I've been on 50mg once a day for about 2 years, my blood pressure is well controlled, last home reading was 122/78.</x:v>
      </x:c>
      <x:c r="C13" s="9" t="str">
        <x:v>ASYNC_PHYSICIAN</x:v>
      </x:c>
      <x:c r="D13" s="9" t="str">
        <x:v>Routine refill request for long-term losartan with well-controlled blood pressure and no red-flag symptoms; appropriate for asynchronous physician review and prescription renewal.</x:v>
      </x:c>
      <x:c r="E13" s="9" t="str">
        <x:v>URGENT_ESCALATION</x:v>
      </x:c>
      <x:c r="F13" s="9" t="str">
        <x:v>["STANDARD_ASYNC"]</x:v>
      </x:c>
      <x:c r="G13" s="9" t="str">
        <x:v>ASYNC_PHYSICIAN</x:v>
      </x:c>
      <x:c r="H13" s="10" t="n">
        <x:f>IF(F13="null",0,1)</x:f>
        <x:v>1</x:v>
      </x:c>
      <x:c r="I13" s="10" t="n">
        <x:f>IF(H13=0,"excluded",IF(C13=G13,1,0))</x:f>
        <x:v>1</x:v>
      </x:c>
      <x:c r="J13" s="10" t="n">
        <x:f>IF(C13=E13,1,0)</x:f>
        <x:v>0</x:v>
      </x:c>
      <x:c r="K13" s="9" t="str"/>
      <x:c r="L13" s="9" t="str">
        <x:v>Fable low C06</x:v>
      </x:c>
    </x:row>
    <x:row r="14" ht="80" customHeight="1">
      <x:c r="A14" s="9" t="str">
        <x:v>C07</x:v>
      </x:c>
      <x:c r="B14" s="9" t="str">
        <x:v>My 3-year-old has had a fever up to 102F for 2 days. He's still drinking okay and pretty playful in between the fevers. No rash that I can see.</x:v>
      </x:c>
      <x:c r="C14" s="9" t="str">
        <x:v>ASYNC_PHYSICIAN</x:v>
      </x:c>
      <x:c r="D14" s="9" t="str">
        <x:v>Toddler with 2-day fever to 102F but well-hydrated, playful, and without rash or red-flag symptoms; not an emergency, but persistent fever in a young child warrants clinician review and guidance rather than self-care alone.</x:v>
      </x:c>
      <x:c r="E14" s="9" t="str">
        <x:v>ASYNC_PHYSICIAN</x:v>
      </x:c>
      <x:c r="F14" s="9" t="str">
        <x:v>["STANDARD_ASYNC"]</x:v>
      </x:c>
      <x:c r="G14" s="9" t="str">
        <x:v>ASYNC_PHYSICIAN</x:v>
      </x:c>
      <x:c r="H14" s="10" t="n">
        <x:f>IF(F14="null",0,1)</x:f>
        <x:v>1</x:v>
      </x:c>
      <x:c r="I14" s="10" t="n">
        <x:f>IF(H14=0,"excluded",IF(C14=G14,1,0))</x:f>
        <x:v>1</x:v>
      </x:c>
      <x:c r="J14" s="10" t="n">
        <x:f>IF(C14=E14,1,0)</x:f>
        <x:v>1</x:v>
      </x:c>
      <x:c r="K14" s="9" t="str"/>
      <x:c r="L14" s="9" t="str">
        <x:v>Fable low C07</x:v>
      </x:c>
    </x:row>
    <x:row r="15" ht="80" customHeight="1">
      <x:c r="A15" s="9" t="str">
        <x:v>C08</x:v>
      </x:c>
      <x:c r="B15" s="9" t="str">
        <x:v>35F. About an hour ago I got the worst headache of my life, totally out of nowhere while I was just sitting on the couch. It hit like a thunderclap. My neck feels a bit stiff now too.</x:v>
      </x:c>
      <x:c r="C15" s="9" t="str">
        <x:v>URGENT_ESCALATION</x:v>
      </x:c>
      <x:c r="D15" s="9" t="str">
        <x:v>Sudden-onset 'worst headache of my life' (thunderclap) with new neck stiffness is a red flag for subarachnoid hemorrhage or meningitis; requires immediate emergency evaluation.</x:v>
      </x:c>
      <x:c r="E15" s="9" t="str">
        <x:v>ASYNC_PHYSICIAN</x:v>
      </x:c>
      <x:c r="F15" s="9" t="str">
        <x:v>["EMERGENCY_NOW"]</x:v>
      </x:c>
      <x:c r="G15" s="9" t="str">
        <x:v>URGENT_ESCALATION</x:v>
      </x:c>
      <x:c r="H15" s="10" t="n">
        <x:f>IF(F15="null",0,1)</x:f>
        <x:v>1</x:v>
      </x:c>
      <x:c r="I15" s="10" t="n">
        <x:f>IF(H15=0,"excluded",IF(C15=G15,1,0))</x:f>
        <x:v>1</x:v>
      </x:c>
      <x:c r="J15" s="10" t="n">
        <x:f>IF(C15=E15,1,0)</x:f>
        <x:v>0</x:v>
      </x:c>
      <x:c r="K15" s="9" t="str"/>
      <x:c r="L15" s="9" t="str">
        <x:v>Fable low C08</x:v>
      </x:c>
    </x:row>
    <x:row r="16" ht="80" customHeight="1">
      <x:c r="A16" s="9" t="str">
        <x:v>C09</x:v>
      </x:c>
      <x:c r="B16" s="9" t="str">
        <x:v>30F, I'm 32 weeks pregnant. I've had a bad headache that won't go away, my vision is a little blurry, and my hands and face look puffy.</x:v>
      </x:c>
      <x:c r="C16" s="9" t="str">
        <x:v>URGENT_ESCALATION</x:v>
      </x:c>
      <x:c r="D16" s="9" t="str">
        <x:v>Persistent headache, visual changes, and facial/hand swelling at 32 weeks pregnancy are red flags for preeclampsia requiring same-day emergency evaluation.</x:v>
      </x:c>
      <x:c r="E16" s="9" t="str">
        <x:v>URGENT_ESCALATION</x:v>
      </x:c>
      <x:c r="F16" s="9" t="str">
        <x:v>["EMERGENCY_NOW"]</x:v>
      </x:c>
      <x:c r="G16" s="9" t="str">
        <x:v>URGENT_ESCALATION</x:v>
      </x:c>
      <x:c r="H16" s="10" t="n">
        <x:f>IF(F16="null",0,1)</x:f>
        <x:v>1</x:v>
      </x:c>
      <x:c r="I16" s="10" t="n">
        <x:f>IF(H16=0,"excluded",IF(C16=G16,1,0))</x:f>
        <x:v>1</x:v>
      </x:c>
      <x:c r="J16" s="10" t="n">
        <x:f>IF(C16=E16,1,0)</x:f>
        <x:v>1</x:v>
      </x:c>
      <x:c r="K16" s="9" t="str"/>
      <x:c r="L16" s="9" t="str">
        <x:v>Fable low C09</x:v>
      </x:c>
    </x:row>
    <x:row r="17" ht="80" customHeight="1">
      <x:c r="A17" s="9" t="str">
        <x:v>C10</x:v>
      </x:c>
      <x:c r="B17" s="9" t="str">
        <x:v>50M. For a few weeks I've had pain in my upper right belly that comes and goes, usually after a fatty meal. No fever, no yellowing of my skin or eyes.</x:v>
      </x:c>
      <x:c r="C17" s="9" t="str">
        <x:v>ASYNC_PHYSICIAN</x:v>
      </x:c>
      <x:c r="D17" s="9" t="str">
        <x:v>Intermittent postprandial RUQ pain for weeks suggests possible biliary colic/gallstones; no fever, jaundice, or persistent severe pain, so no red flags for same-day emergency, but needs physician evaluation and likely ultrasound.</x:v>
      </x:c>
      <x:c r="E17" s="9" t="str">
        <x:v>ASYNC_PHYSICIAN</x:v>
      </x:c>
      <x:c r="F17" s="9" t="str">
        <x:v>["STANDARD_ASYNC"]</x:v>
      </x:c>
      <x:c r="G17" s="9" t="str">
        <x:v>ASYNC_PHYSICIAN</x:v>
      </x:c>
      <x:c r="H17" s="10" t="n">
        <x:f>IF(F17="null",0,1)</x:f>
        <x:v>1</x:v>
      </x:c>
      <x:c r="I17" s="10" t="n">
        <x:f>IF(H17=0,"excluded",IF(C17=G17,1,0))</x:f>
        <x:v>1</x:v>
      </x:c>
      <x:c r="J17" s="10" t="n">
        <x:f>IF(C17=E17,1,0)</x:f>
        <x:v>1</x:v>
      </x:c>
      <x:c r="K17" s="9" t="str"/>
      <x:c r="L17" s="9" t="str">
        <x:v>Fable low C10</x:v>
      </x:c>
    </x:row>
    <x:row r="18" ht="80" customHeight="1">
      <x:c r="A18" s="9" t="str">
        <x:v>C11</x:v>
      </x:c>
      <x:c r="B18" s="9" t="str">
        <x:v>I have a small itchy red rash on my forearm since I did some gardening yesterday. It's not spreading and I'm breathing fine.</x:v>
      </x:c>
      <x:c r="C18" s="9" t="str">
        <x:v>SELF_CARE</x:v>
      </x:c>
      <x:c r="D18" s="9" t="str">
        <x:v>Localized mild contact rash after gardening, not spreading, no breathing or systemic symptoms; manageable with washing, cool compresses, OTC antihistamine/hydrocortisone. Seek care if it spreads, blisters severely, or systemic symptoms develop.</x:v>
      </x:c>
      <x:c r="E18" s="9" t="str">
        <x:v>URGENT_ESCALATION</x:v>
      </x:c>
      <x:c r="F18" s="9" t="str">
        <x:v>["SELF_CARE"]</x:v>
      </x:c>
      <x:c r="G18" s="9" t="str">
        <x:v>SELF_CARE</x:v>
      </x:c>
      <x:c r="H18" s="10" t="n">
        <x:f>IF(F18="null",0,1)</x:f>
        <x:v>1</x:v>
      </x:c>
      <x:c r="I18" s="10" t="n">
        <x:f>IF(H18=0,"excluded",IF(C18=G18,1,0))</x:f>
        <x:v>1</x:v>
      </x:c>
      <x:c r="J18" s="10" t="n">
        <x:f>IF(C18=E18,1,0)</x:f>
        <x:v>0</x:v>
      </x:c>
      <x:c r="K18" s="9" t="str"/>
      <x:c r="L18" s="9" t="str">
        <x:v>Fable low C11</x:v>
      </x:c>
    </x:row>
    <x:row r="19" ht="80" customHeight="1">
      <x:c r="A19" s="9" t="str">
        <x:v>C12</x:v>
      </x:c>
      <x:c r="B19" s="9" t="str">
        <x:v>68F with COPD. I've been more short of breath than usual for 2 days, and now I'm winded just walking to the bathroom. My phlegm has turned green.</x:v>
      </x:c>
      <x:c r="C19" s="9" t="str">
        <x:v>URGENT_ESCALATION</x:v>
      </x:c>
      <x:c r="D19" s="9" t="str">
        <x:v>68-year-old with COPD showing signs of acute exacerbation: worsening dyspnea over 2 days now limiting minimal exertion (bathroom), plus purulent green sputum suggesting infection. Progressive breathlessness at minimal activity is a same-day red flag requiring prompt evaluation.</x:v>
      </x:c>
      <x:c r="E19" s="9" t="str">
        <x:v>ASYNC_PHYSICIAN</x:v>
      </x:c>
      <x:c r="F19" s="9" t="str">
        <x:v>["EMERGENCY_NOW"]</x:v>
      </x:c>
      <x:c r="G19" s="9" t="str">
        <x:v>URGENT_ESCALATION</x:v>
      </x:c>
      <x:c r="H19" s="10" t="n">
        <x:f>IF(F19="null",0,1)</x:f>
        <x:v>1</x:v>
      </x:c>
      <x:c r="I19" s="10" t="n">
        <x:f>IF(H19=0,"excluded",IF(C19=G19,1,0))</x:f>
        <x:v>1</x:v>
      </x:c>
      <x:c r="J19" s="10" t="n">
        <x:f>IF(C19=E19,1,0)</x:f>
        <x:v>0</x:v>
      </x:c>
      <x:c r="K19" s="9" t="str"/>
      <x:c r="L19" s="9" t="str">
        <x:v>Fable low C12</x:v>
      </x:c>
    </x:row>
    <x:row r="20" ht="80" customHeight="1">
      <x:c r="A20" s="9" t="str">
        <x:v>C13</x:v>
      </x:c>
      <x:c r="B20" s="9" t="str">
        <x:v>55M. My right hand has been numb and tingly for a few days, worse at night. No weakness anywhere, no face drooping, my speech is normal.</x:v>
      </x:c>
      <x:c r="C20" s="9" t="str">
        <x:v>ASYNC_PHYSICIAN</x:v>
      </x:c>
      <x:c r="D20" s="9" t="str">
        <x:v>Several days of unilateral hand numbness/tingling worse at night suggests a likely benign cause such as carpal tunnel syndrome, and the patient denies stroke red flags (no weakness, facial droop, or speech change). Not an emergency, but persistent neurological symptoms warrant physician evaluation rather than self-care alone.</x:v>
      </x:c>
      <x:c r="E20" s="9" t="str">
        <x:v>ASYNC_PHYSICIAN</x:v>
      </x:c>
      <x:c r="F20" s="9" t="str">
        <x:v>["PRIORITY_ASYNC"]</x:v>
      </x:c>
      <x:c r="G20" s="9" t="str">
        <x:v>ASYNC_PHYSICIAN</x:v>
      </x:c>
      <x:c r="H20" s="10" t="n">
        <x:f>IF(F20="null",0,1)</x:f>
        <x:v>1</x:v>
      </x:c>
      <x:c r="I20" s="10" t="n">
        <x:f>IF(H20=0,"excluded",IF(C20=G20,1,0))</x:f>
        <x:v>1</x:v>
      </x:c>
      <x:c r="J20" s="10" t="n">
        <x:f>IF(C20=E20,1,0)</x:f>
        <x:v>1</x:v>
      </x:c>
      <x:c r="K20" s="9" t="str"/>
      <x:c r="L20" s="9" t="str">
        <x:v>Fable low C13</x:v>
      </x:c>
    </x:row>
    <x:row r="21" ht="80" customHeight="1">
      <x:c r="A21" s="9" t="str">
        <x:v>C14</x:v>
      </x:c>
      <x:c r="B21" s="9" t="str">
        <x:v>I ate shrimp about 20 minutes ago. Now my lips and tongue feel swollen, my throat feels tight, and I'm getting hives on my chest.</x:v>
      </x:c>
      <x:c r="C21" s="9" t="str">
        <x:v>URGENT_ESCALATION</x:v>
      </x:c>
      <x:c r="D21" s="9" t="str">
        <x:v>Lip/tongue swelling, throat tightness, and hives within 20 minutes of eating shrimp indicate possible anaphylaxis; needs emergency care (call 911/use epinephrine if available) immediately.</x:v>
      </x:c>
      <x:c r="E21" s="9" t="str">
        <x:v>URGENT_ESCALATION</x:v>
      </x:c>
      <x:c r="F21" s="9" t="str">
        <x:v>["EMERGENCY_NOW"]</x:v>
      </x:c>
      <x:c r="G21" s="9" t="str">
        <x:v>URGENT_ESCALATION</x:v>
      </x:c>
      <x:c r="H21" s="10" t="n">
        <x:f>IF(F21="null",0,1)</x:f>
        <x:v>1</x:v>
      </x:c>
      <x:c r="I21" s="10" t="n">
        <x:f>IF(H21=0,"excluded",IF(C21=G21,1,0))</x:f>
        <x:v>1</x:v>
      </x:c>
      <x:c r="J21" s="10" t="n">
        <x:f>IF(C21=E21,1,0)</x:f>
        <x:v>1</x:v>
      </x:c>
      <x:c r="K21" s="9" t="str"/>
      <x:c r="L21" s="9" t="str">
        <x:v>Fable low C14</x:v>
      </x:c>
    </x:row>
    <x:row r="22" ht="80" customHeight="1">
      <x:c r="A22" s="9" t="str">
        <x:v>C15</x:v>
      </x:c>
      <x:c r="B22" s="9" t="str">
        <x:v>I'd like to get tested for STIs. No symptoms, but I had a new partner recently and want to be safe.</x:v>
      </x:c>
      <x:c r="C22" s="9" t="str">
        <x:v>ASYNC_PHYSICIAN</x:v>
      </x:c>
      <x:c r="D22" s="9" t="str">
        <x:v>Routine asymptomatic STI screening request after new partner; requires clinician order for lab testing but no red flags or urgency.</x:v>
      </x:c>
      <x:c r="E22" s="9" t="str">
        <x:v>ASYNC_PHYSICIAN</x:v>
      </x:c>
      <x:c r="F22" s="9" t="str">
        <x:v>["STANDARD_ASYNC"]</x:v>
      </x:c>
      <x:c r="G22" s="9" t="str">
        <x:v>ASYNC_PHYSICIAN</x:v>
      </x:c>
      <x:c r="H22" s="10" t="n">
        <x:f>IF(F22="null",0,1)</x:f>
        <x:v>1</x:v>
      </x:c>
      <x:c r="I22" s="10" t="n">
        <x:f>IF(H22=0,"excluded",IF(C22=G22,1,0))</x:f>
        <x:v>1</x:v>
      </x:c>
      <x:c r="J22" s="10" t="n">
        <x:f>IF(C22=E22,1,0)</x:f>
        <x:v>1</x:v>
      </x:c>
      <x:c r="K22" s="9" t="str"/>
      <x:c r="L22" s="9" t="str">
        <x:v>Fable low C15</x:v>
      </x:c>
    </x:row>
    <x:row r="23" ht="80" customHeight="1">
      <x:c r="A23" s="9" t="str">
        <x:v>C16</x:v>
      </x:c>
      <x:c r="B23" s="9" t="str">
        <x:v>My 6-month-old has a fever of 100.9, she's fussy, she's had fewer wet diapers today than normal, and she doesn't seem interested in feeding.</x:v>
      </x:c>
      <x:c r="C23" s="9" t="str">
        <x:v>URGENT_ESCALATION</x:v>
      </x:c>
      <x:c r="D23" s="9" t="str">
        <x:v>6-month-old with fever, decreased wet diapers (possible dehydration), and poor feeding warrants same-day clinical evaluation.</x:v>
      </x:c>
      <x:c r="E23" s="9" t="str">
        <x:v>ASYNC_PHYSICIAN</x:v>
      </x:c>
      <x:c r="F23" s="9" t="str">
        <x:v>["EMERGENCY_NOW"]</x:v>
      </x:c>
      <x:c r="G23" s="9" t="str">
        <x:v>URGENT_ESCALATION</x:v>
      </x:c>
      <x:c r="H23" s="10" t="n">
        <x:f>IF(F23="null",0,1)</x:f>
        <x:v>1</x:v>
      </x:c>
      <x:c r="I23" s="10" t="n">
        <x:f>IF(H23=0,"excluded",IF(C23=G23,1,0))</x:f>
        <x:v>1</x:v>
      </x:c>
      <x:c r="J23" s="10" t="n">
        <x:f>IF(C23=E23,1,0)</x:f>
        <x:v>0</x:v>
      </x:c>
      <x:c r="K23" s="9" t="str"/>
      <x:c r="L23" s="9" t="str">
        <x:v>Fable low C16</x:v>
      </x:c>
    </x:row>
    <x:row r="24" ht="80" customHeight="1">
      <x:c r="A24" s="9" t="str">
        <x:v>C17</x:v>
      </x:c>
      <x:c r="B24" s="9" t="str">
        <x:v>40M. I hurt my low back lifting something a week ago. Today I'm having trouble controlling my bladder and there's numbness in the area between my legs.</x:v>
      </x:c>
      <x:c r="C24" s="9" t="str">
        <x:v>URGENT_ESCALATION</x:v>
      </x:c>
      <x:c r="D24" s="9" t="str">
        <x:v>New bladder dysfunction and saddle anesthesia after back injury are red flags for cauda equina syndrome, a surgical emergency requiring immediate evaluation.</x:v>
      </x:c>
      <x:c r="E24" s="9" t="str">
        <x:v>ASYNC_PHYSICIAN</x:v>
      </x:c>
      <x:c r="F24" s="9" t="str">
        <x:v>["EMERGENCY_NOW"]</x:v>
      </x:c>
      <x:c r="G24" s="9" t="str">
        <x:v>URGENT_ESCALATION</x:v>
      </x:c>
      <x:c r="H24" s="10" t="n">
        <x:f>IF(F24="null",0,1)</x:f>
        <x:v>1</x:v>
      </x:c>
      <x:c r="I24" s="10" t="n">
        <x:f>IF(H24=0,"excluded",IF(C24=G24,1,0))</x:f>
        <x:v>1</x:v>
      </x:c>
      <x:c r="J24" s="10" t="n">
        <x:f>IF(C24=E24,1,0)</x:f>
        <x:v>0</x:v>
      </x:c>
      <x:c r="K24" s="9" t="str"/>
      <x:c r="L24" s="9" t="str">
        <x:v>Fable low C17</x:v>
      </x:c>
    </x:row>
    <x:row r="25" ht="80" customHeight="1">
      <x:c r="A25" s="9" t="str">
        <x:v>C18</x:v>
      </x:c>
      <x:c r="B25" s="9" t="str">
        <x:v>Can I refill my albuterol inhaler? I use it maybe once a week, no bad attacks recently.</x:v>
      </x:c>
      <x:c r="C25" s="9" t="str">
        <x:v>ASYNC_PHYSICIAN</x:v>
      </x:c>
      <x:c r="D25" s="9" t="str">
        <x:v>Routine albuterol refill request with stable, infrequent use and no recent exacerbations; no red flags requiring same-day escalation.</x:v>
      </x:c>
      <x:c r="E25" s="9" t="str">
        <x:v>ASYNC_PHYSICIAN</x:v>
      </x:c>
      <x:c r="F25" s="9" t="str">
        <x:v>["STANDARD_ASYNC"]</x:v>
      </x:c>
      <x:c r="G25" s="9" t="str">
        <x:v>ASYNC_PHYSICIAN</x:v>
      </x:c>
      <x:c r="H25" s="10" t="n">
        <x:f>IF(F25="null",0,1)</x:f>
        <x:v>1</x:v>
      </x:c>
      <x:c r="I25" s="10" t="n">
        <x:f>IF(H25=0,"excluded",IF(C25=G25,1,0))</x:f>
        <x:v>1</x:v>
      </x:c>
      <x:c r="J25" s="10" t="n">
        <x:f>IF(C25=E25,1,0)</x:f>
        <x:v>1</x:v>
      </x:c>
      <x:c r="K25" s="9" t="str"/>
      <x:c r="L25" s="9" t="str">
        <x:v>Fable low C18</x:v>
      </x:c>
    </x:row>
    <x:row r="26" ht="80" customHeight="1">
      <x:c r="A26" s="9" t="str">
        <x:v>C19</x:v>
      </x:c>
      <x:c r="B26" s="9" t="str">
        <x:v>I've been dizzy on and off for a few days. The room spins when I roll over or turn my head in bed, but it settles. No chest pain, no weakness, no headache.</x:v>
      </x:c>
      <x:c r="C26" s="9" t="str">
        <x:v>ASYNC_PHYSICIAN</x:v>
      </x:c>
      <x:c r="D26" s="9" t="str">
        <x:v>Positional vertigo pattern consistent with BPPV without red flags (no chest pain, weakness, headache, or neuro symptoms); non-urgent but warrants clinician evaluation for diagnosis and treatment guidance.</x:v>
      </x:c>
      <x:c r="E26" s="9" t="str">
        <x:v>SELF_CARE</x:v>
      </x:c>
      <x:c r="F26" s="9" t="str">
        <x:v>["STANDARD_ASYNC"]</x:v>
      </x:c>
      <x:c r="G26" s="9" t="str">
        <x:v>ASYNC_PHYSICIAN</x:v>
      </x:c>
      <x:c r="H26" s="10" t="n">
        <x:f>IF(F26="null",0,1)</x:f>
        <x:v>1</x:v>
      </x:c>
      <x:c r="I26" s="10" t="n">
        <x:f>IF(H26=0,"excluded",IF(C26=G26,1,0))</x:f>
        <x:v>1</x:v>
      </x:c>
      <x:c r="J26" s="10" t="n">
        <x:f>IF(C26=E26,1,0)</x:f>
        <x:v>0</x:v>
      </x:c>
      <x:c r="K26" s="9" t="str"/>
      <x:c r="L26" s="9" t="str">
        <x:v>Fable low C19</x:v>
      </x:c>
    </x:row>
    <x:row r="27" ht="80" customHeight="1">
      <x:c r="A27" s="9" t="str">
        <x:v>C20</x:v>
      </x:c>
      <x:c r="B27" s="9" t="str">
        <x:v>70M on warfarin. I fell and hit my head yesterday. Today I have a bad headache and I've thrown up twice.</x:v>
      </x:c>
      <x:c r="C27" s="9" t="str">
        <x:v>URGENT_ESCALATION</x:v>
      </x:c>
      <x:c r="D27" s="9" t="str">
        <x:v>Anticoagulated 70-year-old with head trauma followed by worsening headache and vomiting—red flags for intracranial hemorrhage requiring immediate emergency evaluation and CT imaging.</x:v>
      </x:c>
      <x:c r="E27" s="9" t="str">
        <x:v>URGENT_ESCALATION</x:v>
      </x:c>
      <x:c r="F27" s="9" t="str">
        <x:v>["EMERGENCY_NOW"]</x:v>
      </x:c>
      <x:c r="G27" s="9" t="str">
        <x:v>URGENT_ESCALATION</x:v>
      </x:c>
      <x:c r="H27" s="10" t="n">
        <x:f>IF(F27="null",0,1)</x:f>
        <x:v>1</x:v>
      </x:c>
      <x:c r="I27" s="10" t="n">
        <x:f>IF(H27=0,"excluded",IF(C27=G27,1,0))</x:f>
        <x:v>1</x:v>
      </x:c>
      <x:c r="J27" s="10" t="n">
        <x:f>IF(C27=E27,1,0)</x:f>
        <x:v>1</x:v>
      </x:c>
      <x:c r="K27" s="9" t="str"/>
      <x:c r="L27" s="9" t="str">
        <x:v>Fable low C20</x:v>
      </x:c>
    </x:row>
    <x:row r="28" ht="80" customHeight="1">
      <x:c r="A28" s="9" t="str">
        <x:v>C21</x:v>
      </x:c>
      <x:c r="B28" s="9" t="str">
        <x:v>55F. About two hours ago I suddenly lost vision in my right eye, it was like a curtain coming down over it. No pain at all. It hasn't come back.</x:v>
      </x:c>
      <x:c r="C28" s="9" t="str">
        <x:v>URGENT_ESCALATION</x:v>
      </x:c>
      <x:c r="D28" s="9" t="str">
        <x:v>Sudden painless monocular vision loss with curtain-like onset persisting for two hours suggests retinal artery occlusion, retinal detachment, or stroke/TIA; requires immediate emergency evaluation.</x:v>
      </x:c>
      <x:c r="E28" s="9" t="str">
        <x:v>URGENT_ESCALATION</x:v>
      </x:c>
      <x:c r="F28" s="9" t="str">
        <x:v>["EMERGENCY_NOW"]</x:v>
      </x:c>
      <x:c r="G28" s="9" t="str">
        <x:v>URGENT_ESCALATION</x:v>
      </x:c>
      <x:c r="H28" s="10" t="n">
        <x:f>IF(F28="null",0,1)</x:f>
        <x:v>1</x:v>
      </x:c>
      <x:c r="I28" s="10" t="n">
        <x:f>IF(H28=0,"excluded",IF(C28=G28,1,0))</x:f>
        <x:v>1</x:v>
      </x:c>
      <x:c r="J28" s="10" t="n">
        <x:f>IF(C28=E28,1,0)</x:f>
        <x:v>1</x:v>
      </x:c>
      <x:c r="K28" s="9" t="str"/>
      <x:c r="L28" s="9" t="str">
        <x:v>Fable low C21</x:v>
      </x:c>
    </x:row>
    <x:row r="29" ht="80" customHeight="1">
      <x:c r="A29" s="9" t="str">
        <x:v>C22</x:v>
      </x:c>
      <x:c r="B29" s="9" t="str">
        <x:v>24M. I rolled my ankle playing basketball last night. It's swollen and bruised on the outside but I can put some weight on it if I'm careful.</x:v>
      </x:c>
      <x:c r="C29" s="9" t="str">
        <x:v>SELF_CARE</x:v>
      </x:c>
      <x:c r="D29" s="9" t="str">
        <x:v>Lateral ankle sprain with swelling/bruising but able to bear weight; no red flags (deformity, inability to bear weight, numbness). RICE, elevation, OTC analgesics; seek care if unable to walk 4 steps, bony tenderness, or no improvement in several days.</x:v>
      </x:c>
      <x:c r="E29" s="9" t="str">
        <x:v>ASYNC_PHYSICIAN</x:v>
      </x:c>
      <x:c r="F29" s="9" t="str">
        <x:v>["STANDARD_ASYNC"]</x:v>
      </x:c>
      <x:c r="G29" s="9" t="str">
        <x:v>ASYNC_PHYSICIAN</x:v>
      </x:c>
      <x:c r="H29" s="10" t="n">
        <x:f>IF(F29="null",0,1)</x:f>
        <x:v>1</x:v>
      </x:c>
      <x:c r="I29" s="10" t="n">
        <x:f>IF(H29=0,"excluded",IF(C29=G29,1,0))</x:f>
        <x:v>0</x:v>
      </x:c>
      <x:c r="J29" s="10" t="n">
        <x:f>IF(C29=E29,1,0)</x:f>
        <x:v>0</x:v>
      </x:c>
      <x:c r="K29" s="9" t="str"/>
      <x:c r="L29" s="9" t="str">
        <x:v>Fable low C22</x:v>
      </x:c>
    </x:row>
    <x:row r="30" ht="80" customHeight="1">
      <x:c r="A30" s="9" t="str">
        <x:v>C23</x:v>
      </x:c>
      <x:c r="B30" s="9" t="str">
        <x:v>60M. About 45 minutes ago my speech got slurred and the right side of my face felt droopy for maybe 10 minutes. It's back to normal now so I figured it was nothing, but wanted to check.</x:v>
      </x:c>
      <x:c r="C30" s="9" t="str">
        <x:v>URGENT_ESCALATION</x:v>
      </x:c>
      <x:c r="D30" s="9" t="str">
        <x:v>Transient slurred speech and facial droop in a 60-year-old is a probable TIA; symptoms resolving does not rule out impending stroke. Needs emergency evaluation now (call 911/ED).</x:v>
      </x:c>
      <x:c r="E30" s="9" t="str">
        <x:v>ASYNC_PHYSICIAN</x:v>
      </x:c>
      <x:c r="F30" s="9" t="str">
        <x:v>["EMERGENCY_NOW"]</x:v>
      </x:c>
      <x:c r="G30" s="9" t="str">
        <x:v>URGENT_ESCALATION</x:v>
      </x:c>
      <x:c r="H30" s="10" t="n">
        <x:f>IF(F30="null",0,1)</x:f>
        <x:v>1</x:v>
      </x:c>
      <x:c r="I30" s="10" t="n">
        <x:f>IF(H30=0,"excluded",IF(C30=G30,1,0))</x:f>
        <x:v>1</x:v>
      </x:c>
      <x:c r="J30" s="10" t="n">
        <x:f>IF(C30=E30,1,0)</x:f>
        <x:v>0</x:v>
      </x:c>
      <x:c r="K30" s="9" t="str"/>
      <x:c r="L30" s="9" t="str">
        <x:v>Fable low C23</x:v>
      </x:c>
    </x:row>
    <x:row r="31" ht="80" customHeight="1">
      <x:c r="A31" s="9" t="str">
        <x:v>C24</x:v>
      </x:c>
      <x:c r="B31" s="9" t="str">
        <x:v>33F. Could I get a refill on my birth control? I've been on the same one for three years with no problems.</x:v>
      </x:c>
      <x:c r="C31" s="9" t="str">
        <x:v>ASYNC_PHYSICIAN</x:v>
      </x:c>
      <x:c r="D31" s="9" t="str">
        <x:v>Routine medication refill request for long-standing, well-tolerated contraceptive with no red flags; requires prescriber review but not urgent.</x:v>
      </x:c>
      <x:c r="E31" s="9" t="str">
        <x:v>ASYNC_PHYSICIAN</x:v>
      </x:c>
      <x:c r="F31" s="9" t="str">
        <x:v>["STANDARD_ASYNC"]</x:v>
      </x:c>
      <x:c r="G31" s="9" t="str">
        <x:v>ASYNC_PHYSICIAN</x:v>
      </x:c>
      <x:c r="H31" s="10" t="n">
        <x:f>IF(F31="null",0,1)</x:f>
        <x:v>1</x:v>
      </x:c>
      <x:c r="I31" s="10" t="n">
        <x:f>IF(H31=0,"excluded",IF(C31=G31,1,0))</x:f>
        <x:v>1</x:v>
      </x:c>
      <x:c r="J31" s="10" t="n">
        <x:f>IF(C31=E31,1,0)</x:f>
        <x:v>1</x:v>
      </x:c>
      <x:c r="K31" s="9" t="str"/>
      <x:c r="L31" s="9" t="str">
        <x:v>Fable low C24</x:v>
      </x:c>
    </x:row>
    <x:row r="32" ht="80" customHeight="1">
      <x:c r="A32" s="9" t="str">
        <x:v>C25</x:v>
      </x:c>
      <x:c r="B32" s="9" t="str">
        <x:v>42F. I flew back from Europe two days ago and now my left calf is painful, swollen, and warm compared to the other one.</x:v>
      </x:c>
      <x:c r="C32" s="9" t="str">
        <x:v>URGENT_ESCALATION</x:v>
      </x:c>
      <x:c r="D32" s="9" t="str">
        <x:v>Unilateral calf pain, swelling, and warmth after recent long-haul flight is a classic presentation of possible DVT, which requires same-day evaluation given risk of pulmonary embolism.</x:v>
      </x:c>
      <x:c r="E32" s="9" t="str">
        <x:v>ASYNC_PHYSICIAN</x:v>
      </x:c>
      <x:c r="F32" s="9" t="str">
        <x:v>null</x:v>
      </x:c>
      <x:c r="G32" s="9" t="str"/>
      <x:c r="H32" s="10" t="n">
        <x:f>IF(F32="null",0,1)</x:f>
        <x:v>0</x:v>
      </x:c>
      <x:c r="I32" s="10" t="str">
        <x:f>IF(H32=0,"excluded",IF(C32=G32,1,0))</x:f>
        <x:v>excluded</x:v>
      </x:c>
      <x:c r="J32" s="10" t="n">
        <x:f>IF(C32=E32,1,0)</x:f>
        <x:v>0</x:v>
      </x:c>
      <x:c r="K32" s="9" t="str">
        <x:v>C25: unresolved DVT reference; excluded only from physician agreement.</x:v>
      </x:c>
      <x:c r="L32" s="9" t="str">
        <x:v>Fable low C25</x:v>
      </x:c>
    </x:row>
    <x:row r="33" ht="80" customHeight="1">
      <x:c r="A33" s="9" t="str">
        <x:v>C26</x:v>
      </x:c>
      <x:c r="B33" s="9" t="str">
        <x:v>19M. Scratchy throat since yesterday, no fever, no trouble swallowing. Just annoying. Anything I can take?</x:v>
      </x:c>
      <x:c r="C33" s="9" t="str">
        <x:v>SELF_CARE</x:v>
      </x:c>
      <x:c r="D33" s="9" t="str">
        <x:v>Mild scratchy throat for one day without fever, difficulty swallowing, or other red flags in a healthy 19-year-old; appropriate for OTC lozenges, warm fluids, rest, and monitoring, with escalation if symptoms worsen or persist beyond a week.</x:v>
      </x:c>
      <x:c r="E33" s="9" t="str">
        <x:v>SELF_CARE</x:v>
      </x:c>
      <x:c r="F33" s="9" t="str">
        <x:v>["SELF_CARE"]</x:v>
      </x:c>
      <x:c r="G33" s="9" t="str">
        <x:v>SELF_CARE</x:v>
      </x:c>
      <x:c r="H33" s="10" t="n">
        <x:f>IF(F33="null",0,1)</x:f>
        <x:v>1</x:v>
      </x:c>
      <x:c r="I33" s="10" t="n">
        <x:f>IF(H33=0,"excluded",IF(C33=G33,1,0))</x:f>
        <x:v>1</x:v>
      </x:c>
      <x:c r="J33" s="10" t="n">
        <x:f>IF(C33=E33,1,0)</x:f>
        <x:v>1</x:v>
      </x:c>
      <x:c r="K33" s="9" t="str"/>
      <x:c r="L33" s="9" t="str">
        <x:v>Fable low C26</x:v>
      </x:c>
    </x:row>
    <x:row r="34" ht="80" customHeight="1">
      <x:c r="A34" s="9" t="str">
        <x:v>C27</x:v>
      </x:c>
      <x:c r="B34" s="9" t="str">
        <x:v>70F. Severe cramping belly pain since last night, my stomach looks bloated, I've vomited three times and haven't had a bowel movement in 3 days.</x:v>
      </x:c>
      <x:c r="C34" s="9" t="str">
        <x:v>URGENT_ESCALATION</x:v>
      </x:c>
      <x:c r="D34" s="9" t="str">
        <x:v>Elderly patient with severe abdominal pain, distension, repeated vomiting, and no bowel movement for 3 days suggests possible bowel obstruction; requires same-day/emergency evaluation.</x:v>
      </x:c>
      <x:c r="E34" s="9" t="str">
        <x:v>URGENT_ESCALATION</x:v>
      </x:c>
      <x:c r="F34" s="9" t="str">
        <x:v>["EMERGENCY_NOW"]</x:v>
      </x:c>
      <x:c r="G34" s="9" t="str">
        <x:v>URGENT_ESCALATION</x:v>
      </x:c>
      <x:c r="H34" s="10" t="n">
        <x:f>IF(F34="null",0,1)</x:f>
        <x:v>1</x:v>
      </x:c>
      <x:c r="I34" s="10" t="n">
        <x:f>IF(H34=0,"excluded",IF(C34=G34,1,0))</x:f>
        <x:v>1</x:v>
      </x:c>
      <x:c r="J34" s="10" t="n">
        <x:f>IF(C34=E34,1,0)</x:f>
        <x:v>1</x:v>
      </x:c>
      <x:c r="K34" s="9" t="str"/>
      <x:c r="L34" s="9" t="str">
        <x:v>Fable low C27</x:v>
      </x:c>
    </x:row>
    <x:row r="35" ht="80" customHeight="1">
      <x:c r="A35" s="9" t="str">
        <x:v>C28</x:v>
      </x:c>
      <x:c r="B35" s="9" t="str">
        <x:v>29F, about 8 weeks pregnant. I started bleeding this morning, more than spotting, with cramping in my lower belly.</x:v>
      </x:c>
      <x:c r="C35" s="9" t="str">
        <x:v>URGENT_ESCALATION</x:v>
      </x:c>
      <x:c r="D35" s="9" t="str">
        <x:v>Bleeding heavier than spotting with cramping at 8 weeks pregnancy is a red flag for miscarriage or ectopic pregnancy and requires same-day evaluation.</x:v>
      </x:c>
      <x:c r="E35" s="9" t="str">
        <x:v>URGENT_ESCALATION</x:v>
      </x:c>
      <x:c r="F35" s="9" t="str">
        <x:v>["EMERGENCY_NOW"]</x:v>
      </x:c>
      <x:c r="G35" s="9" t="str">
        <x:v>URGENT_ESCALATION</x:v>
      </x:c>
      <x:c r="H35" s="10" t="n">
        <x:f>IF(F35="null",0,1)</x:f>
        <x:v>1</x:v>
      </x:c>
      <x:c r="I35" s="10" t="n">
        <x:f>IF(H35=0,"excluded",IF(C35=G35,1,0))</x:f>
        <x:v>1</x:v>
      </x:c>
      <x:c r="J35" s="10" t="n">
        <x:f>IF(C35=E35,1,0)</x:f>
        <x:v>1</x:v>
      </x:c>
      <x:c r="K35" s="9" t="str"/>
      <x:c r="L35" s="9" t="str">
        <x:v>Fable low C28</x:v>
      </x:c>
    </x:row>
    <x:row r="36" ht="80" customHeight="1">
      <x:c r="A36" s="9" t="str">
        <x:v>C29</x:v>
      </x:c>
      <x:c r="B36" s="9" t="str">
        <x:v>45F. I had my cholesterol checked last week at a lab. Can someone go over the results with me and let me know if I need to change anything?</x:v>
      </x:c>
      <x:c r="C36" s="9" t="str">
        <x:v>ASYNC_PHYSICIAN</x:v>
      </x:c>
      <x:c r="D36" s="9" t="str">
        <x:v>Routine lab result review and possible management change; no red flags, but requires clinician interpretation rather than self-care.</x:v>
      </x:c>
      <x:c r="E36" s="9" t="str">
        <x:v>ASYNC_PHYSICIAN</x:v>
      </x:c>
      <x:c r="F36" s="9" t="str">
        <x:v>["STANDARD_ASYNC"]</x:v>
      </x:c>
      <x:c r="G36" s="9" t="str">
        <x:v>ASYNC_PHYSICIAN</x:v>
      </x:c>
      <x:c r="H36" s="10" t="n">
        <x:f>IF(F36="null",0,1)</x:f>
        <x:v>1</x:v>
      </x:c>
      <x:c r="I36" s="10" t="n">
        <x:f>IF(H36=0,"excluded",IF(C36=G36,1,0))</x:f>
        <x:v>1</x:v>
      </x:c>
      <x:c r="J36" s="10" t="n">
        <x:f>IF(C36=E36,1,0)</x:f>
        <x:v>1</x:v>
      </x:c>
      <x:c r="K36" s="9" t="str"/>
      <x:c r="L36" s="9" t="str">
        <x:v>Fable low C29</x:v>
      </x:c>
    </x:row>
    <x:row r="37" ht="80" customHeight="1">
      <x:c r="A37" s="9" t="str">
        <x:v>C30</x:v>
      </x:c>
      <x:c r="B37" s="9" t="str">
        <x:v>36M. I got into poison ivy while clearing brush on Saturday. Itchy blistery rash on both forearms, spreading a bit within that area. No fever, no trouble breathing.</x:v>
      </x:c>
      <x:c r="C37" s="9" t="str">
        <x:v>SELF_CARE</x:v>
      </x:c>
      <x:c r="D37" s="9" t="str">
        <x:v>Localized poison ivy contact dermatitis on forearms without fever, breathing difficulty, facial/genital involvement, or signs of infection; manageable with OTC hydrocortisone, calamine, oral antihistamines, cool compresses, and washing exposed skin/clothing. Escalate if rash spreads to face/eyes/genitals, becomes widespread, shows pus or worsening redness, or symptoms persist beyond 2-3 weeks.</x:v>
      </x:c>
      <x:c r="E37" s="9" t="str">
        <x:v>URGENT_ESCALATION</x:v>
      </x:c>
      <x:c r="F37" s="9" t="str">
        <x:v>["SELF_CARE"]</x:v>
      </x:c>
      <x:c r="G37" s="9" t="str">
        <x:v>SELF_CARE</x:v>
      </x:c>
      <x:c r="H37" s="10" t="n">
        <x:f>IF(F37="null",0,1)</x:f>
        <x:v>1</x:v>
      </x:c>
      <x:c r="I37" s="10" t="n">
        <x:f>IF(H37=0,"excluded",IF(C37=G37,1,0))</x:f>
        <x:v>1</x:v>
      </x:c>
      <x:c r="J37" s="10" t="n">
        <x:f>IF(C37=E37,1,0)</x:f>
        <x:v>0</x:v>
      </x:c>
      <x:c r="K37" s="9" t="str"/>
      <x:c r="L37" s="9" t="str">
        <x:v>Fable low C30</x:v>
      </x:c>
    </x:row>
    <x:row r="38" ht="80" customHeight="1">
      <x:c r="A38" s="9" t="str">
        <x:v>C31</x:v>
      </x:c>
      <x:c r="B38" s="9" t="str">
        <x:v>50F. Bad headache since yesterday with a fever of 101.5, my neck is stiff and it hurts to look at bright light.</x:v>
      </x:c>
      <x:c r="C38" s="9" t="str">
        <x:v>URGENT_ESCALATION</x:v>
      </x:c>
      <x:c r="D38" s="9" t="str">
        <x:v>Headache with fever, neck stiffness, and photophobia is a classic meningitis presentation requiring immediate emergency evaluation.</x:v>
      </x:c>
      <x:c r="E38" s="9" t="str">
        <x:v>URGENT_ESCALATION</x:v>
      </x:c>
      <x:c r="F38" s="9" t="str">
        <x:v>["EMERGENCY_NOW"]</x:v>
      </x:c>
      <x:c r="G38" s="9" t="str">
        <x:v>URGENT_ESCALATION</x:v>
      </x:c>
      <x:c r="H38" s="10" t="n">
        <x:f>IF(F38="null",0,1)</x:f>
        <x:v>1</x:v>
      </x:c>
      <x:c r="I38" s="10" t="n">
        <x:f>IF(H38=0,"excluded",IF(C38=G38,1,0))</x:f>
        <x:v>1</x:v>
      </x:c>
      <x:c r="J38" s="10" t="n">
        <x:f>IF(C38=E38,1,0)</x:f>
        <x:v>1</x:v>
      </x:c>
      <x:c r="K38" s="9" t="str"/>
      <x:c r="L38" s="9" t="str">
        <x:v>Fable low C31</x:v>
      </x:c>
    </x:row>
    <x:row r="39" ht="80" customHeight="1">
      <x:c r="A39" s="9" t="str">
        <x:v>C32</x:v>
      </x:c>
      <x:c r="B39" s="9" t="str">
        <x:v>My 8-year-old says her right ear has hurt since last night. No fever, she ate breakfast fine and went to school.</x:v>
      </x:c>
      <x:c r="C39" s="9" t="str">
        <x:v>SELF_CARE</x:v>
      </x:c>
      <x:c r="D39" s="9" t="str">
        <x:v>Mild unilateral ear pain &lt;48 hours in an 8-year-old, no fever, eating and attending school normally—no red flags. Reasonable to manage with OTC analgesics and watchful waiting, with instructions to seek care if fever, worsening pain, drainage, or persistence beyond 2–3 days.</x:v>
      </x:c>
      <x:c r="E39" s="9" t="str">
        <x:v>ASYNC_PHYSICIAN</x:v>
      </x:c>
      <x:c r="F39" s="9" t="str">
        <x:v>["STANDARD_ASYNC"]</x:v>
      </x:c>
      <x:c r="G39" s="9" t="str">
        <x:v>ASYNC_PHYSICIAN</x:v>
      </x:c>
      <x:c r="H39" s="10" t="n">
        <x:f>IF(F39="null",0,1)</x:f>
        <x:v>1</x:v>
      </x:c>
      <x:c r="I39" s="10" t="n">
        <x:f>IF(H39=0,"excluded",IF(C39=G39,1,0))</x:f>
        <x:v>0</x:v>
      </x:c>
      <x:c r="J39" s="10" t="n">
        <x:f>IF(C39=E39,1,0)</x:f>
        <x:v>0</x:v>
      </x:c>
      <x:c r="K39" s="9" t="str"/>
      <x:c r="L39" s="9" t="str">
        <x:v>Fable low C32</x:v>
      </x:c>
    </x:row>
    <x:row r="40" ht="80" customHeight="1">
      <x:c r="A40" s="9" t="str">
        <x:v>C33</x:v>
      </x:c>
      <x:c r="B40" s="9" t="str">
        <x:v>65M, type 2 diabetes. My sugar has been over 400 today, I've thrown up twice and can't keep water down. I feel awful.</x:v>
      </x:c>
      <x:c r="C40" s="9" t="str">
        <x:v>URGENT_ESCALATION</x:v>
      </x:c>
      <x:c r="D40" s="9" t="str">
        <x:v>Glucose &gt;400 with repeated vomiting and inability to keep fluids down suggests possible DKA/HHS and dehydration; needs same-day emergency evaluation.</x:v>
      </x:c>
      <x:c r="E40" s="9" t="str">
        <x:v>URGENT_ESCALATION</x:v>
      </x:c>
      <x:c r="F40" s="9" t="str">
        <x:v>["EMERGENCY_NOW"]</x:v>
      </x:c>
      <x:c r="G40" s="9" t="str">
        <x:v>URGENT_ESCALATION</x:v>
      </x:c>
      <x:c r="H40" s="10" t="n">
        <x:f>IF(F40="null",0,1)</x:f>
        <x:v>1</x:v>
      </x:c>
      <x:c r="I40" s="10" t="n">
        <x:f>IF(H40=0,"excluded",IF(C40=G40,1,0))</x:f>
        <x:v>1</x:v>
      </x:c>
      <x:c r="J40" s="10" t="n">
        <x:f>IF(C40=E40,1,0)</x:f>
        <x:v>1</x:v>
      </x:c>
      <x:c r="K40" s="9" t="str"/>
      <x:c r="L40" s="9" t="str">
        <x:v>Fable low C33</x:v>
      </x:c>
    </x:row>
    <x:row r="41" ht="80" customHeight="1">
      <x:c r="A41" s="9" t="str">
        <x:v>C34</x:v>
      </x:c>
      <x:c r="B41" s="9" t="str">
        <x:v>27F. My seasonal allergies are back — sneezing, itchy eyes, stuffy nose. What over the counter option do you recommend?</x:v>
      </x:c>
      <x:c r="C41" s="9" t="str">
        <x:v>SELF_CARE</x:v>
      </x:c>
      <x:c r="D41" s="9" t="str">
        <x:v>Typical seasonal allergy symptoms in a healthy 27-year-old with no red flags; OTC antihistamines (e.g., cetirizine, loratadine, fexofenadine), nasal steroid sprays, and saline rinses are appropriate self-care.</x:v>
      </x:c>
      <x:c r="E41" s="9" t="str">
        <x:v>SELF_CARE</x:v>
      </x:c>
      <x:c r="F41" s="9" t="str">
        <x:v>["STANDARD_ASYNC"]</x:v>
      </x:c>
      <x:c r="G41" s="9" t="str">
        <x:v>ASYNC_PHYSICIAN</x:v>
      </x:c>
      <x:c r="H41" s="10" t="n">
        <x:f>IF(F41="null",0,1)</x:f>
        <x:v>1</x:v>
      </x:c>
      <x:c r="I41" s="10" t="n">
        <x:f>IF(H41=0,"excluded",IF(C41=G41,1,0))</x:f>
        <x:v>0</x:v>
      </x:c>
      <x:c r="J41" s="10" t="n">
        <x:f>IF(C41=E41,1,0)</x:f>
        <x:v>1</x:v>
      </x:c>
      <x:c r="K41" s="9" t="str"/>
      <x:c r="L41" s="9" t="str">
        <x:v>Fable low C34</x:v>
      </x:c>
    </x:row>
    <x:row r="42" ht="80" customHeight="1">
      <x:c r="A42" s="9" t="str">
        <x:v>C35</x:v>
      </x:c>
      <x:c r="B42" s="9" t="str">
        <x:v>58M. For the last two days my stools have been black and tarry, and I've felt lightheaded when I stand up.</x:v>
      </x:c>
      <x:c r="C42" s="9" t="str">
        <x:v>URGENT_ESCALATION</x:v>
      </x:c>
      <x:c r="D42" s="9" t="str">
        <x:v>Melena (black tarry stools) for 2 days plus orthostatic lightheadedness suggests upper GI bleeding with possible hemodynamic compromise—needs same-day/emergency evaluation.</x:v>
      </x:c>
      <x:c r="E42" s="9" t="str">
        <x:v>ASYNC_PHYSICIAN</x:v>
      </x:c>
      <x:c r="F42" s="9" t="str">
        <x:v>["EMERGENCY_NOW"]</x:v>
      </x:c>
      <x:c r="G42" s="9" t="str">
        <x:v>URGENT_ESCALATION</x:v>
      </x:c>
      <x:c r="H42" s="10" t="n">
        <x:f>IF(F42="null",0,1)</x:f>
        <x:v>1</x:v>
      </x:c>
      <x:c r="I42" s="10" t="n">
        <x:f>IF(H42=0,"excluded",IF(C42=G42,1,0))</x:f>
        <x:v>1</x:v>
      </x:c>
      <x:c r="J42" s="10" t="n">
        <x:f>IF(C42=E42,1,0)</x:f>
        <x:v>0</x:v>
      </x:c>
      <x:c r="K42" s="9" t="str"/>
      <x:c r="L42" s="9" t="str">
        <x:v>Fable low C35</x:v>
      </x:c>
    </x:row>
    <x:row r="43" ht="80" customHeight="1">
      <x:c r="A43" s="9" t="str">
        <x:v>C36</x:v>
      </x:c>
      <x:c r="B43" s="9" t="str">
        <x:v>31F. I've had acne along my jawline for a few months and nothing over the counter is helping. Would like to talk about options.</x:v>
      </x:c>
      <x:c r="C43" s="9" t="str">
        <x:v>ASYNC_PHYSICIAN</x:v>
      </x:c>
      <x:c r="D43" s="9" t="str">
        <x:v>Chronic jawline acne unresponsive to OTC treatment for months; non-urgent but needs prescription-level evaluation (possible hormonal acne, topical/oral options), no red flags.</x:v>
      </x:c>
      <x:c r="E43" s="9" t="str">
        <x:v>ASYNC_PHYSICIAN</x:v>
      </x:c>
      <x:c r="F43" s="9" t="str">
        <x:v>["STANDARD_ASYNC"]</x:v>
      </x:c>
      <x:c r="G43" s="9" t="str">
        <x:v>ASYNC_PHYSICIAN</x:v>
      </x:c>
      <x:c r="H43" s="10" t="n">
        <x:f>IF(F43="null",0,1)</x:f>
        <x:v>1</x:v>
      </x:c>
      <x:c r="I43" s="10" t="n">
        <x:f>IF(H43=0,"excluded",IF(C43=G43,1,0))</x:f>
        <x:v>1</x:v>
      </x:c>
      <x:c r="J43" s="10" t="n">
        <x:f>IF(C43=E43,1,0)</x:f>
        <x:v>1</x:v>
      </x:c>
      <x:c r="K43" s="9" t="str"/>
      <x:c r="L43" s="9" t="str">
        <x:v>Fable low C36</x:v>
      </x:c>
    </x:row>
    <x:row r="44" ht="80" customHeight="1">
      <x:c r="A44" s="9" t="str">
        <x:v>C37</x:v>
      </x:c>
      <x:c r="B44" s="9" t="str">
        <x:v>44M. Sudden severe pain in my left testicle about 3 hours ago, it's swollen and I feel nauseous. Pain isn't letting up.</x:v>
      </x:c>
      <x:c r="C44" s="9" t="str">
        <x:v>URGENT_ESCALATION</x:v>
      </x:c>
      <x:c r="D44" s="9" t="str">
        <x:v>Sudden severe unilateral testicular pain with swelling and nausea for 3 hours is a red flag for testicular torsion, a surgical emergency requiring same-day evaluation.</x:v>
      </x:c>
      <x:c r="E44" s="9" t="str">
        <x:v>URGENT_ESCALATION</x:v>
      </x:c>
      <x:c r="F44" s="9" t="str">
        <x:v>["EMERGENCY_NOW"]</x:v>
      </x:c>
      <x:c r="G44" s="9" t="str">
        <x:v>URGENT_ESCALATION</x:v>
      </x:c>
      <x:c r="H44" s="10" t="n">
        <x:f>IF(F44="null",0,1)</x:f>
        <x:v>1</x:v>
      </x:c>
      <x:c r="I44" s="10" t="n">
        <x:f>IF(H44=0,"excluded",IF(C44=G44,1,0))</x:f>
        <x:v>1</x:v>
      </x:c>
      <x:c r="J44" s="10" t="n">
        <x:f>IF(C44=E44,1,0)</x:f>
        <x:v>1</x:v>
      </x:c>
      <x:c r="K44" s="9" t="str"/>
      <x:c r="L44" s="9" t="str">
        <x:v>Fable low C37</x:v>
      </x:c>
    </x:row>
    <x:row r="45" ht="80" customHeight="1">
      <x:c r="A45" s="9" t="str">
        <x:v>C38</x:v>
      </x:c>
      <x:c r="B45" s="9" t="str">
        <x:v>22F. Following up on my ankle sprain from last week — it's improving. Just wondering how much ibuprofen I can safely take and for how long.</x:v>
      </x:c>
      <x:c r="C45" s="9" t="str">
        <x:v>SELF_CARE</x:v>
      </x:c>
      <x:c r="D45" s="9" t="str">
        <x:v>Improving ankle sprain with a general OTC ibuprofen dosing question; no red flags. Standard guidance (e.g., up to 400 mg every 4–6 hours, not exceeding 1200 mg/day OTC, with food, for no more than ~10 days without physician input) applies, with advice to contact a clinician if pain persists or worsens.</x:v>
      </x:c>
      <x:c r="E45" s="9" t="str">
        <x:v>SELF_CARE</x:v>
      </x:c>
      <x:c r="F45" s="9" t="str">
        <x:v>["STANDARD_ASYNC"]</x:v>
      </x:c>
      <x:c r="G45" s="9" t="str">
        <x:v>ASYNC_PHYSICIAN</x:v>
      </x:c>
      <x:c r="H45" s="10" t="n">
        <x:f>IF(F45="null",0,1)</x:f>
        <x:v>1</x:v>
      </x:c>
      <x:c r="I45" s="10" t="n">
        <x:f>IF(H45=0,"excluded",IF(C45=G45,1,0))</x:f>
        <x:v>0</x:v>
      </x:c>
      <x:c r="J45" s="10" t="n">
        <x:f>IF(C45=E45,1,0)</x:f>
        <x:v>1</x:v>
      </x:c>
      <x:c r="K45" s="9" t="str"/>
      <x:c r="L45" s="9" t="str">
        <x:v>Fable low C38</x:v>
      </x:c>
    </x:row>
    <x:row r="46" ht="80" customHeight="1">
      <x:c r="A46" s="9" t="str">
        <x:v>C39</x:v>
      </x:c>
      <x:c r="B46" s="9" t="str">
        <x:v>39F, two weeks postpartum. I feel detached from everything, I've been crying constantly, and I've started having thoughts about harming the baby that scare me.</x:v>
      </x:c>
      <x:c r="C46" s="9" t="str">
        <x:v>URGENT_ESCALATION</x:v>
      </x:c>
      <x:c r="D46" s="9" t="str">
        <x:v>Postpartum patient with intrusive thoughts of harming her infant plus detachment and persistent crying—possible postpartum depression/psychosis with infant safety risk; requires same-day/emergency evaluation.</x:v>
      </x:c>
      <x:c r="E46" s="9" t="str">
        <x:v>URGENT_ESCALATION</x:v>
      </x:c>
      <x:c r="F46" s="9" t="str">
        <x:v>["EMERGENCY_NOW"]</x:v>
      </x:c>
      <x:c r="G46" s="9" t="str">
        <x:v>URGENT_ESCALATION</x:v>
      </x:c>
      <x:c r="H46" s="10" t="n">
        <x:f>IF(F46="null",0,1)</x:f>
        <x:v>1</x:v>
      </x:c>
      <x:c r="I46" s="10" t="n">
        <x:f>IF(H46=0,"excluded",IF(C46=G46,1,0))</x:f>
        <x:v>1</x:v>
      </x:c>
      <x:c r="J46" s="10" t="n">
        <x:f>IF(C46=E46,1,0)</x:f>
        <x:v>1</x:v>
      </x:c>
      <x:c r="K46" s="9" t="str"/>
      <x:c r="L46" s="9" t="str">
        <x:v>Fable low C39</x:v>
      </x:c>
    </x:row>
    <x:row r="47" ht="80" customHeight="1">
      <x:c r="A47" s="9" t="str">
        <x:v>C40</x:v>
      </x:c>
      <x:c r="B47" s="9" t="str">
        <x:v>47M. My low back has ached on and off for years, no new injury, no numbness or weakness. I'd like a referral for physical therapy.</x:v>
      </x:c>
      <x:c r="C47" s="9" t="str">
        <x:v>ASYNC_PHYSICIAN</x:v>
      </x:c>
      <x:c r="D47" s="9" t="str">
        <x:v>Chronic, stable low back pain with no red flags (no new injury, no numbness/weakness); referral request requires physician order but not same-day care.</x:v>
      </x:c>
      <x:c r="E47" s="9" t="str">
        <x:v>ASYNC_PHYSICIAN</x:v>
      </x:c>
      <x:c r="F47" s="9" t="str">
        <x:v>["STANDARD_ASYNC"]</x:v>
      </x:c>
      <x:c r="G47" s="9" t="str">
        <x:v>ASYNC_PHYSICIAN</x:v>
      </x:c>
      <x:c r="H47" s="10" t="n">
        <x:f>IF(F47="null",0,1)</x:f>
        <x:v>1</x:v>
      </x:c>
      <x:c r="I47" s="10" t="n">
        <x:f>IF(H47=0,"excluded",IF(C47=G47,1,0))</x:f>
        <x:v>1</x:v>
      </x:c>
      <x:c r="J47" s="10" t="n">
        <x:f>IF(C47=E47,1,0)</x:f>
        <x:v>1</x:v>
      </x:c>
      <x:c r="K47" s="9" t="str"/>
      <x:c r="L47" s="9" t="str">
        <x:v>Fable low C40</x:v>
      </x:c>
    </x:row>
    <x:row r="48" ht="80" customHeight="1">
      <x:c r="A48" s="9" t="str">
        <x:v>C41</x:v>
      </x:c>
      <x:c r="B48" s="9" t="str">
        <x:v>My 6-year-old has a fever of 103 and I just noticed purple spots on his legs that don't fade when I press on them. He seems very sleepy.</x:v>
      </x:c>
      <x:c r="C48" s="9" t="str">
        <x:v>URGENT_ESCALATION</x:v>
      </x:c>
      <x:c r="D48" s="9" t="str">
        <x:v>High fever with non-blanching purpuric rash and lethargy in a child is a red flag for meningococcal sepsis/meningitis; needs emergency evaluation immediately.</x:v>
      </x:c>
      <x:c r="E48" s="9" t="str">
        <x:v>URGENT_ESCALATION</x:v>
      </x:c>
      <x:c r="F48" s="9" t="str">
        <x:v>["EMERGENCY_NOW"]</x:v>
      </x:c>
      <x:c r="G48" s="9" t="str">
        <x:v>URGENT_ESCALATION</x:v>
      </x:c>
      <x:c r="H48" s="10" t="n">
        <x:f>IF(F48="null",0,1)</x:f>
        <x:v>1</x:v>
      </x:c>
      <x:c r="I48" s="10" t="n">
        <x:f>IF(H48=0,"excluded",IF(C48=G48,1,0))</x:f>
        <x:v>1</x:v>
      </x:c>
      <x:c r="J48" s="10" t="n">
        <x:f>IF(C48=E48,1,0)</x:f>
        <x:v>1</x:v>
      </x:c>
      <x:c r="K48" s="9" t="str"/>
      <x:c r="L48" s="9" t="str">
        <x:v>Fable low C41</x:v>
      </x:c>
    </x:row>
    <x:row r="49" ht="80" customHeight="1">
      <x:c r="A49" s="9" t="str">
        <x:v>C42</x:v>
      </x:c>
      <x:c r="B49" s="9" t="str">
        <x:v>52F. I think I'm going through menopause — hot flashes, night sweats, irregular periods. I'd like to discuss what my options are.</x:v>
      </x:c>
      <x:c r="C49" s="9" t="str">
        <x:v>ASYNC_PHYSICIAN</x:v>
      </x:c>
      <x:c r="D49" s="9" t="str">
        <x:v>Perimenopausal symptoms (hot flashes, night sweats, irregular periods) in a 52F are non-urgent but warrant physician discussion of management options; no red flags reported.</x:v>
      </x:c>
      <x:c r="E49" s="9" t="str">
        <x:v>ASYNC_PHYSICIAN</x:v>
      </x:c>
      <x:c r="F49" s="9" t="str">
        <x:v>["STANDARD_ASYNC"]</x:v>
      </x:c>
      <x:c r="G49" s="9" t="str">
        <x:v>ASYNC_PHYSICIAN</x:v>
      </x:c>
      <x:c r="H49" s="10" t="n">
        <x:f>IF(F49="null",0,1)</x:f>
        <x:v>1</x:v>
      </x:c>
      <x:c r="I49" s="10" t="n">
        <x:f>IF(H49=0,"excluded",IF(C49=G49,1,0))</x:f>
        <x:v>1</x:v>
      </x:c>
      <x:c r="J49" s="10" t="n">
        <x:f>IF(C49=E49,1,0)</x:f>
        <x:v>1</x:v>
      </x:c>
      <x:c r="K49" s="9" t="str"/>
      <x:c r="L49" s="9" t="str">
        <x:v>Fable low C42</x:v>
      </x:c>
    </x:row>
    <x:row r="50" ht="80" customHeight="1">
      <x:c r="A50" s="9" t="str">
        <x:v>C43</x:v>
      </x:c>
      <x:c r="B50" s="9" t="str">
        <x:v>34M. I've had a cough for about three weeks now with night sweats and I've lost maybe 10 pounds without trying. I moved here from a country where TB is common.</x:v>
      </x:c>
      <x:c r="C50" s="9" t="str">
        <x:v>URGENT_ESCALATION</x:v>
      </x:c>
      <x:c r="D50" s="9" t="str">
        <x:v>Three-week cough with night sweats, unintentional weight loss, and origin from a TB-endemic country is a classic presentation for active pulmonary tuberculosis, a public-health concern requiring prompt same-day evaluation, isolation precautions, and testing.</x:v>
      </x:c>
      <x:c r="E50" s="9" t="str">
        <x:v>ASYNC_PHYSICIAN</x:v>
      </x:c>
      <x:c r="F50" s="9" t="str">
        <x:v>["SAME_DAY_IN_PERSON"]</x:v>
      </x:c>
      <x:c r="G50" s="9" t="str">
        <x:v>URGENT_ESCALATION</x:v>
      </x:c>
      <x:c r="H50" s="10" t="n">
        <x:f>IF(F50="null",0,1)</x:f>
        <x:v>1</x:v>
      </x:c>
      <x:c r="I50" s="10" t="n">
        <x:f>IF(H50=0,"excluded",IF(C50=G50,1,0))</x:f>
        <x:v>1</x:v>
      </x:c>
      <x:c r="J50" s="10" t="n">
        <x:f>IF(C50=E50,1,0)</x:f>
        <x:v>0</x:v>
      </x:c>
      <x:c r="K50" s="9" t="str"/>
      <x:c r="L50" s="9" t="str">
        <x:v>Fable low C43</x:v>
      </x:c>
    </x:row>
    <x:row r="51" ht="80" customHeight="1">
      <x:c r="A51" s="9" t="str">
        <x:v>C44</x:v>
      </x:c>
      <x:c r="B51" s="9" t="str">
        <x:v>68M. Both my ankles have been swelling for a couple weeks and it's gotten worse. The last two nights I've had to sit up to breathe because lying flat makes me short of breath.</x:v>
      </x:c>
      <x:c r="C51" s="9" t="str">
        <x:v>URGENT_ESCALATION</x:v>
      </x:c>
      <x:c r="D51" s="9" t="str">
        <x:v>68M with progressive bilateral ankle edema plus new orthopnea over 2 nights suggests decompensated heart failure; requires same-day evaluation.</x:v>
      </x:c>
      <x:c r="E51" s="9" t="str">
        <x:v>ASYNC_PHYSICIAN</x:v>
      </x:c>
      <x:c r="F51" s="9" t="str">
        <x:v>["EMERGENCY_NOW"]</x:v>
      </x:c>
      <x:c r="G51" s="9" t="str">
        <x:v>URGENT_ESCALATION</x:v>
      </x:c>
      <x:c r="H51" s="10" t="n">
        <x:f>IF(F51="null",0,1)</x:f>
        <x:v>1</x:v>
      </x:c>
      <x:c r="I51" s="10" t="n">
        <x:f>IF(H51=0,"excluded",IF(C51=G51,1,0))</x:f>
        <x:v>1</x:v>
      </x:c>
      <x:c r="J51" s="10" t="n">
        <x:f>IF(C51=E51,1,0)</x:f>
        <x:v>0</x:v>
      </x:c>
      <x:c r="K51" s="9" t="str"/>
      <x:c r="L51" s="9" t="str">
        <x:v>Fable low C44</x:v>
      </x:c>
    </x:row>
    <x:row r="52" ht="80" customHeight="1">
      <x:c r="A52" s="9" t="str">
        <x:v>C45</x:v>
      </x:c>
      <x:c r="B52" s="9" t="str">
        <x:v>25F. I got my STI panel results in the portal and I don't understand what one of the values means. Can someone explain?</x:v>
      </x:c>
      <x:c r="C52" s="9" t="str">
        <x:v>ASYNC_PHYSICIAN</x:v>
      </x:c>
      <x:c r="D52" s="9" t="str">
        <x:v>Patient requests interpretation of STI panel results; requires clinician review and explanation but no emergency red flags present.</x:v>
      </x:c>
      <x:c r="E52" s="9" t="str">
        <x:v>ASYNC_PHYSICIAN</x:v>
      </x:c>
      <x:c r="F52" s="9" t="str">
        <x:v>["STANDARD_ASYNC"]</x:v>
      </x:c>
      <x:c r="G52" s="9" t="str">
        <x:v>ASYNC_PHYSICIAN</x:v>
      </x:c>
      <x:c r="H52" s="10" t="n">
        <x:f>IF(F52="null",0,1)</x:f>
        <x:v>1</x:v>
      </x:c>
      <x:c r="I52" s="10" t="n">
        <x:f>IF(H52=0,"excluded",IF(C52=G52,1,0))</x:f>
        <x:v>1</x:v>
      </x:c>
      <x:c r="J52" s="10" t="n">
        <x:f>IF(C52=E52,1,0)</x:f>
        <x:v>1</x:v>
      </x:c>
      <x:c r="K52" s="9" t="str"/>
      <x:c r="L52" s="9" t="str">
        <x:v>Fable low C45</x:v>
      </x:c>
    </x:row>
    <x:row r="53" ht="80" customHeight="1">
      <x:c r="A53" s="9" t="str">
        <x:v>C46</x:v>
      </x:c>
      <x:c r="B53" s="9" t="str">
        <x:v>30M. Requesting a refill of my finasteride, 1mg daily. No side effects, been on it about a year.</x:v>
      </x:c>
      <x:c r="C53" s="9" t="str">
        <x:v>ASYNC_PHYSICIAN</x:v>
      </x:c>
      <x:c r="D53" s="9" t="str">
        <x:v>Routine refill request for finasteride 1mg with no side effects or red flags; requires prescriber review but not urgent.</x:v>
      </x:c>
      <x:c r="E53" s="9" t="str">
        <x:v>URGENT_ESCALATION</x:v>
      </x:c>
      <x:c r="F53" s="9" t="str">
        <x:v>["STANDARD_ASYNC"]</x:v>
      </x:c>
      <x:c r="G53" s="9" t="str">
        <x:v>ASYNC_PHYSICIAN</x:v>
      </x:c>
      <x:c r="H53" s="10" t="n">
        <x:f>IF(F53="null",0,1)</x:f>
        <x:v>1</x:v>
      </x:c>
      <x:c r="I53" s="10" t="n">
        <x:f>IF(H53=0,"excluded",IF(C53=G53,1,0))</x:f>
        <x:v>1</x:v>
      </x:c>
      <x:c r="J53" s="10" t="n">
        <x:f>IF(C53=E53,1,0)</x:f>
        <x:v>0</x:v>
      </x:c>
      <x:c r="K53" s="9" t="str"/>
      <x:c r="L53" s="9" t="str">
        <x:v>Fable low C46</x:v>
      </x:c>
    </x:row>
    <x:row r="54" ht="80" customHeight="1">
      <x:c r="A54" s="9" t="str">
        <x:v>C47</x:v>
      </x:c>
      <x:c r="B54" s="9" t="str">
        <x:v>45F. I've had trouble falling asleep for the last month or so. Work has been stressful. I'm functioning but tired all day.</x:v>
      </x:c>
      <x:c r="C54" s="9" t="str">
        <x:v>SELF_CARE</x:v>
      </x:c>
      <x:c r="D54" s="9" t="str">
        <x:v>Subacute stress-related insomnia in a functioning adult with no red flags (no mood/suicidality concerns, no daytime impairment beyond fatigue). Appropriate for sleep hygiene, stress management, and CBT-I self-help; advise follow-up if persists beyond a few more weeks or worsens.</x:v>
      </x:c>
      <x:c r="E54" s="9" t="str">
        <x:v>ASYNC_PHYSICIAN</x:v>
      </x:c>
      <x:c r="F54" s="9" t="str">
        <x:v>["STANDARD_ASYNC"]</x:v>
      </x:c>
      <x:c r="G54" s="9" t="str">
        <x:v>ASYNC_PHYSICIAN</x:v>
      </x:c>
      <x:c r="H54" s="10" t="n">
        <x:f>IF(F54="null",0,1)</x:f>
        <x:v>1</x:v>
      </x:c>
      <x:c r="I54" s="10" t="n">
        <x:f>IF(H54=0,"excluded",IF(C54=G54,1,0))</x:f>
        <x:v>0</x:v>
      </x:c>
      <x:c r="J54" s="10" t="n">
        <x:f>IF(C54=E54,1,0)</x:f>
        <x:v>0</x:v>
      </x:c>
      <x:c r="K54" s="9" t="str"/>
      <x:c r="L54" s="9" t="str">
        <x:v>Fable low C47</x:v>
      </x:c>
    </x:row>
    <x:row r="55" ht="80" customHeight="1">
      <x:c r="A55" s="9" t="str">
        <x:v>C48</x:v>
      </x:c>
      <x:c r="B55" s="9" t="str">
        <x:v>71F. I fell in the kitchen this morning and my right hip hurts badly. I can't put any weight on that leg.</x:v>
      </x:c>
      <x:c r="C55" s="9" t="str">
        <x:v>URGENT_ESCALATION</x:v>
      </x:c>
      <x:c r="D55" s="9" t="str">
        <x:v>71-year-old with fall, severe hip pain, and inability to bear weight—high suspicion for hip fracture requiring same-day emergency evaluation and imaging.</x:v>
      </x:c>
      <x:c r="E55" s="9" t="str">
        <x:v>URGENT_ESCALATION</x:v>
      </x:c>
      <x:c r="F55" s="9" t="str">
        <x:v>["EMERGENCY_NOW"]</x:v>
      </x:c>
      <x:c r="G55" s="9" t="str">
        <x:v>URGENT_ESCALATION</x:v>
      </x:c>
      <x:c r="H55" s="10" t="n">
        <x:f>IF(F55="null",0,1)</x:f>
        <x:v>1</x:v>
      </x:c>
      <x:c r="I55" s="10" t="n">
        <x:f>IF(H55=0,"excluded",IF(C55=G55,1,0))</x:f>
        <x:v>1</x:v>
      </x:c>
      <x:c r="J55" s="10" t="n">
        <x:f>IF(C55=E55,1,0)</x:f>
        <x:v>1</x:v>
      </x:c>
      <x:c r="K55" s="9" t="str"/>
      <x:c r="L55" s="9" t="str">
        <x:v>Fable low C48</x:v>
      </x:c>
    </x:row>
    <x:row r="56" ht="80" customHeight="1">
      <x:c r="A56" s="9" t="str">
        <x:v>C49</x:v>
      </x:c>
      <x:c r="B56" s="9" t="str">
        <x:v>28M. Sharp pain on the left side of my chest since yesterday, worse when I take a deep breath. I did a heavy chest workout two days ago. No shortness of breath, no leg swelling, I don't smoke.</x:v>
      </x:c>
      <x:c r="C56" s="9" t="str">
        <x:v>URGENT_ESCALATION</x:v>
      </x:c>
      <x:c r="D56" s="9" t="str">
        <x:v>New chest pain requires same-day clinical evaluation despite likely musculoskeletal cause; cannot safely rule out cardiac or pulmonary causes via message.</x:v>
      </x:c>
      <x:c r="E56" s="9" t="str">
        <x:v>ASYNC_PHYSICIAN</x:v>
      </x:c>
      <x:c r="F56" s="9" t="str">
        <x:v>["SAME_DAY_IN_PERSON"]</x:v>
      </x:c>
      <x:c r="G56" s="9" t="str">
        <x:v>URGENT_ESCALATION</x:v>
      </x:c>
      <x:c r="H56" s="10" t="n">
        <x:f>IF(F56="null",0,1)</x:f>
        <x:v>1</x:v>
      </x:c>
      <x:c r="I56" s="10" t="n">
        <x:f>IF(H56=0,"excluded",IF(C56=G56,1,0))</x:f>
        <x:v>1</x:v>
      </x:c>
      <x:c r="J56" s="10" t="n">
        <x:f>IF(C56=E56,1,0)</x:f>
        <x:v>0</x:v>
      </x:c>
      <x:c r="K56" s="9" t="str"/>
      <x:c r="L56" s="9" t="str">
        <x:v>Fable low C49</x:v>
      </x:c>
    </x:row>
    <x:row r="57" ht="80" customHeight="1">
      <x:c r="A57" s="9" t="str">
        <x:v>C50</x:v>
      </x:c>
      <x:c r="B57" s="9" t="str">
        <x:v>40F. My usual migraine started this morning — same one-sided throbbing and light sensitivity I always get. I'm out of sumatriptan and would like a refill.</x:v>
      </x:c>
      <x:c r="C57" s="9" t="str">
        <x:v>ASYNC_PHYSICIAN</x:v>
      </x:c>
      <x:c r="D57" s="9" t="str">
        <x:v>Routine refill request for established migraine medication; symptoms match her typical pattern with no red flags (no 'worst headache ever', neuro deficits, fever, or sudden onset).</x:v>
      </x:c>
      <x:c r="E57" s="9" t="str">
        <x:v>ASYNC_PHYSICIAN</x:v>
      </x:c>
      <x:c r="F57" s="9" t="str">
        <x:v>["PRIORITY_ASYNC"]</x:v>
      </x:c>
      <x:c r="G57" s="9" t="str">
        <x:v>ASYNC_PHYSICIAN</x:v>
      </x:c>
      <x:c r="H57" s="10" t="n">
        <x:f>IF(F57="null",0,1)</x:f>
        <x:v>1</x:v>
      </x:c>
      <x:c r="I57" s="10" t="n">
        <x:f>IF(H57=0,"excluded",IF(C57=G57,1,0))</x:f>
        <x:v>1</x:v>
      </x:c>
      <x:c r="J57" s="10" t="n">
        <x:f>IF(C57=E57,1,0)</x:f>
        <x:v>1</x:v>
      </x:c>
      <x:c r="K57" s="9" t="str"/>
      <x:c r="L57" s="9" t="str">
        <x:v>Fable low C50</x:v>
      </x:c>
    </x:row>
  </x:sheetData>
  <x:conditionalFormatting sqref="I8:J57">
    <x:cfRule type="cellIs" dxfId="0" priority="1" operator="equal">
      <x:formula>0</x:formula>
    </x:cfRule>
  </x:conditionalFormatting>
  <x:conditionalFormatting sqref="I8:I57">
    <x:cfRule type="containsText" dxfId="1" priority="2" operator="containsText" text="excluded"/>
  </x:conditionalFormatting>
  <x:pageMargins left="0.7" right="0.7" top="0.75" bottom="0.75" header="0.3" footer="0.3"/>
  <x:tableParts count="1">
    <x:tablePart xmlns:r="http://schemas.openxmlformats.org/officeDocument/2006/relationships" r:id="R6642b0815cf046b5"/>
  </x:tableParts>
</x:worksheet>
</file>

<file path=xl/worksheets/sheet3.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23" hidden="0" customWidth="1"/>
    <x:col min="2" max="2" width="8" hidden="0" customWidth="1"/>
    <x:col min="3" max="3" width="27" hidden="0" customWidth="1"/>
    <x:col min="4" max="4" width="27" hidden="0" customWidth="1"/>
    <x:col min="5" max="5" width="27" hidden="0" customWidth="1"/>
    <x:col min="6" max="6" width="12" hidden="0" customWidth="1"/>
    <x:col min="7" max="7" width="12" hidden="0" customWidth="1"/>
    <x:col min="8" max="8" width="25" hidden="0" customWidth="1"/>
    <x:col min="9" max="9" width="12" hidden="0" customWidth="1"/>
    <x:col min="10" max="10" width="68" hidden="0" customWidth="1"/>
    <x:col min="11" max="11" width="30" hidden="0" customWidth="1"/>
    <x:col min="12" max="12" width="38" hidden="0" customWidth="1"/>
  </x:cols>
  <x:sheetData>
    <x:row r="1">
      <x:c r="A1" s="2"/>
      <x:c r="B1" s="2"/>
      <x:c r="C1" s="2"/>
      <x:c r="D1" s="2"/>
      <x:c r="E1" s="2"/>
      <x:c r="F1" s="2"/>
      <x:c r="G1" s="2"/>
      <x:c r="H1" s="2"/>
      <x:c r="I1" s="2"/>
      <x:c r="J1" s="2"/>
      <x:c r="K1" s="2"/>
      <x:c r="L1" s="2"/>
    </x:row>
    <x:row r="2" ht="25" customHeight="1">
      <x:c r="A2" s="3" t="str">
        <x:v>Comparison runs and historical mapping</x:v>
      </x:c>
      <x:c r="B2" s="2"/>
      <x:c r="C2" s="2"/>
      <x:c r="D2" s="2"/>
      <x:c r="E2" s="2"/>
      <x:c r="F2" s="2"/>
      <x:c r="G2" s="2"/>
      <x:c r="H2" s="2"/>
      <x:c r="I2" s="2"/>
      <x:c r="J2" s="2"/>
      <x:c r="K2" s="2"/>
      <x:c r="L2" s="2"/>
    </x:row>
    <x:row r="3">
      <x:c r="A3" s="2"/>
      <x:c r="B3" s="2"/>
      <x:c r="C3" s="2"/>
      <x:c r="D3" s="2"/>
      <x:c r="E3" s="2"/>
      <x:c r="F3" s="2"/>
      <x:c r="G3" s="2"/>
      <x:c r="H3" s="2"/>
      <x:c r="I3" s="2"/>
      <x:c r="J3" s="2"/>
      <x:c r="K3" s="2"/>
      <x:c r="L3" s="2"/>
    </x:row>
    <x:row r="4">
      <x:c r="A4" s="2" t="str">
        <x:v>Each row is one frozen output. Five-way collapsed is a historical re-score, with zero new inference for the mapping.</x:v>
      </x:c>
      <x:c r="B4" s="2"/>
      <x:c r="C4" s="2"/>
      <x:c r="D4" s="2"/>
      <x:c r="E4" s="2"/>
      <x:c r="F4" s="2"/>
      <x:c r="G4" s="2"/>
      <x:c r="H4" s="2"/>
      <x:c r="I4" s="2"/>
      <x:c r="J4" s="2"/>
      <x:c r="K4" s="2"/>
      <x:c r="L4" s="2"/>
    </x:row>
    <x:row r="5">
      <x:c r="A5" s="2" t="str">
        <x:v>The five-way run originally scored 35/49 on exact routes. Its 46/49 after collapse is a taxonomy change, not model improvement.</x:v>
      </x:c>
      <x:c r="B5" s="2"/>
      <x:c r="C5" s="2"/>
      <x:c r="D5" s="2"/>
      <x:c r="E5" s="2"/>
      <x:c r="F5" s="2"/>
      <x:c r="G5" s="2"/>
      <x:c r="H5" s="2"/>
      <x:c r="I5" s="2"/>
      <x:c r="J5" s="2"/>
      <x:c r="K5" s="2"/>
      <x:c r="L5" s="2"/>
    </x:row>
    <x:row r="6">
      <x:c r="A6" s="2"/>
      <x:c r="B6" s="2"/>
      <x:c r="C6" s="2"/>
      <x:c r="D6" s="2"/>
      <x:c r="E6" s="2"/>
      <x:c r="F6" s="2"/>
      <x:c r="G6" s="2"/>
      <x:c r="H6" s="2"/>
      <x:c r="I6" s="2"/>
      <x:c r="J6" s="2"/>
      <x:c r="K6" s="2"/>
      <x:c r="L6" s="2"/>
    </x:row>
    <x:row r="7" ht="34" customHeight="1">
      <x:c r="A7" s="7" t="str">
        <x:v>Run</x:v>
      </x:c>
      <x:c r="B7" s="7" t="str">
        <x:v>Case</x:v>
      </x:c>
      <x:c r="C7" s="7" t="str">
        <x:v>Original prediction</x:v>
      </x:c>
      <x:c r="D7" s="7" t="str">
        <x:v>Scored three-bucket prediction</x:v>
      </x:c>
      <x:c r="E7" s="7" t="str">
        <x:v>Mapped physician bucket</x:v>
      </x:c>
      <x:c r="F7" s="7" t="str">
        <x:v>Physician included</x:v>
      </x:c>
      <x:c r="G7" s="7" t="str">
        <x:v>Physician agreement</x:v>
      </x:c>
      <x:c r="H7" s="7" t="str">
        <x:v>Original CSV label</x:v>
      </x:c>
      <x:c r="I7" s="7" t="str">
        <x:v>CSV agreement</x:v>
      </x:c>
      <x:c r="J7" s="7" t="str">
        <x:v>Original rationale</x:v>
      </x:c>
      <x:c r="K7" s="7" t="str">
        <x:v>Source key</x:v>
      </x:c>
      <x:c r="L7" s="7" t="str">
        <x:v>Comparison scope</x:v>
      </x:c>
    </x:row>
    <x:row r="8" ht="90" customHeight="1">
      <x:c r="A8" s="9" t="str">
        <x:v>Opus low</x:v>
      </x:c>
      <x:c r="B8" s="9" t="str">
        <x:v>C01</x:v>
      </x:c>
      <x:c r="C8" s="9" t="str">
        <x:v>SELF_CARE</x:v>
      </x:c>
      <x:c r="D8" s="9" t="str">
        <x:v>SELF_CARE</x:v>
      </x:c>
      <x:c r="E8" s="9" t="str">
        <x:f>IF(VLOOKUP(B8,'Fable cases'!$A$8:$L$57,8,FALSE)=0,"",VLOOKUP(B8,'Fable cases'!$A$8:$L$57,7,FALSE))</x:f>
        <x:v>SELF_CARE</x:v>
      </x:c>
      <x:c r="F8" s="10" t="n">
        <x:f>VLOOKUP(B8,'Fable cases'!$A$8:$L$57,8,FALSE)</x:f>
        <x:v>1</x:v>
      </x:c>
      <x:c r="G8" s="10" t="n">
        <x:f>IF(F8=0,"excluded",IF(D8=E8,1,0))</x:f>
        <x:v>1</x:v>
      </x:c>
      <x:c r="H8" s="9" t="str">
        <x:f>VLOOKUP(B8,'Fable cases'!$A$8:$L$57,5,FALSE)</x:f>
        <x:v>SELF_CARE</x:v>
      </x:c>
      <x:c r="I8" s="10" t="n">
        <x:f>IF(D8=H8,1,0)</x:f>
        <x:v>1</x:v>
      </x:c>
      <x:c r="J8" s="9" t="str">
        <x:v>Mild, brief upper respiratory symptoms without fever or red flags; supportive home care and monitoring are appropriate.</x:v>
      </x:c>
      <x:c r="K8" s="9" t="str">
        <x:v>Opus low C01</x:v>
      </x:c>
      <x:c r="L8" s="9" t="str">
        <x:v>Fresh three-bucket one-shot cohort</x:v>
      </x:c>
    </x:row>
    <x:row r="9" ht="90" customHeight="1">
      <x:c r="A9" s="9" t="str">
        <x:v>Opus low</x:v>
      </x:c>
      <x:c r="B9" s="9" t="str">
        <x:v>C02</x:v>
      </x:c>
      <x:c r="C9" s="9" t="str">
        <x:v>URGENT_ESCALATION</x:v>
      </x:c>
      <x:c r="D9" s="9" t="str">
        <x:v>URGENT_ESCALATION</x:v>
      </x:c>
      <x:c r="E9" s="9" t="str">
        <x:f>IF(VLOOKUP(B9,'Fable cases'!$A$8:$L$57,8,FALSE)=0,"",VLOOKUP(B9,'Fable cases'!$A$8:$L$57,7,FALSE))</x:f>
        <x:v>URGENT_ESCALATION</x:v>
      </x:c>
      <x:c r="F9" s="10" t="n">
        <x:f>VLOOKUP(B9,'Fable cases'!$A$8:$L$57,8,FALSE)</x:f>
        <x:v>1</x:v>
      </x:c>
      <x:c r="G9" s="10" t="n">
        <x:f>IF(F9=0,"excluded",IF(D9=E9,1,0))</x:f>
        <x:v>1</x:v>
      </x:c>
      <x:c r="H9" s="9" t="str">
        <x:f>VLOOKUP(B9,'Fable cases'!$A$8:$L$57,5,FALSE)</x:f>
        <x:v>URGENT_ESCALATION</x:v>
      </x:c>
      <x:c r="I9" s="10" t="n">
        <x:f>IF(D9=H9,1,0)</x:f>
        <x:v>1</x:v>
      </x:c>
      <x:c r="J9" s="9" t="str">
        <x:v>Classic acute coronary syndrome presentation: 30 min crushing chest pressure with left arm radiation, diaphoresis, nausea, and cardiac risk factor — call 911 now.</x:v>
      </x:c>
      <x:c r="K9" s="9" t="str">
        <x:v>Opus low C02</x:v>
      </x:c>
      <x:c r="L9" s="9" t="str">
        <x:v>Fresh three-bucket one-shot cohort</x:v>
      </x:c>
    </x:row>
    <x:row r="10" ht="90" customHeight="1">
      <x:c r="A10" s="9" t="str">
        <x:v>Opus low</x:v>
      </x:c>
      <x:c r="B10" s="9" t="str">
        <x:v>C03</x:v>
      </x:c>
      <x:c r="C10" s="9" t="str">
        <x:v>ASYNC_PHYSICIAN</x:v>
      </x:c>
      <x:c r="D10" s="9" t="str">
        <x:v>ASYNC_PHYSICIAN</x:v>
      </x:c>
      <x:c r="E10" s="9" t="str">
        <x:f>IF(VLOOKUP(B10,'Fable cases'!$A$8:$L$57,8,FALSE)=0,"",VLOOKUP(B10,'Fable cases'!$A$8:$L$57,7,FALSE))</x:f>
        <x:v>ASYNC_PHYSICIAN</x:v>
      </x:c>
      <x:c r="F10" s="10" t="n">
        <x:f>VLOOKUP(B10,'Fable cases'!$A$8:$L$57,8,FALSE)</x:f>
        <x:v>1</x:v>
      </x:c>
      <x:c r="G10" s="10" t="n">
        <x:f>IF(F10=0,"excluded",IF(D10=E10,1,0))</x:f>
        <x:v>1</x:v>
      </x:c>
      <x:c r="H10" s="9" t="str">
        <x:f>VLOOKUP(B10,'Fable cases'!$A$8:$L$57,5,FALSE)</x:f>
        <x:v>ASYNC_PHYSICIAN</x:v>
      </x:c>
      <x:c r="I10" s="10" t="n">
        <x:f>IF(D10=H10,1,0)</x:f>
        <x:v>1</x:v>
      </x:c>
      <x:c r="J10" s="9" t="str">
        <x:v>Classic uncomplicated lower UTI symptoms for 2 days with no fever, flank pain, or pregnancy; suitable for asynchronous review and likely antibiotic prescription rather than emergency care or self-care alone.</x:v>
      </x:c>
      <x:c r="K10" s="9" t="str">
        <x:v>Opus low C03</x:v>
      </x:c>
      <x:c r="L10" s="9" t="str">
        <x:v>Fresh three-bucket one-shot cohort</x:v>
      </x:c>
    </x:row>
    <x:row r="11" ht="90" customHeight="1">
      <x:c r="A11" s="9" t="str">
        <x:v>Opus low</x:v>
      </x:c>
      <x:c r="B11" s="9" t="str">
        <x:v>C04</x:v>
      </x:c>
      <x:c r="C11" s="9" t="str">
        <x:v>URGENT_ESCALATION</x:v>
      </x:c>
      <x:c r="D11" s="9" t="str">
        <x:v>URGENT_ESCALATION</x:v>
      </x:c>
      <x:c r="E11" s="9" t="str">
        <x:f>IF(VLOOKUP(B11,'Fable cases'!$A$8:$L$57,8,FALSE)=0,"",VLOOKUP(B11,'Fable cases'!$A$8:$L$57,7,FALSE))</x:f>
        <x:v>URGENT_ESCALATION</x:v>
      </x:c>
      <x:c r="F11" s="10" t="n">
        <x:f>VLOOKUP(B11,'Fable cases'!$A$8:$L$57,8,FALSE)</x:f>
        <x:v>1</x:v>
      </x:c>
      <x:c r="G11" s="10" t="n">
        <x:f>IF(F11=0,"excluded",IF(D11=E11,1,0))</x:f>
        <x:v>1</x:v>
      </x:c>
      <x:c r="H11" s="9" t="str">
        <x:f>VLOOKUP(B11,'Fable cases'!$A$8:$L$57,5,FALSE)</x:f>
        <x:v>ASYNC_PHYSICIAN</x:v>
      </x:c>
      <x:c r="I11" s="10" t="n">
        <x:f>IF(D11=H11,1,0)</x:f>
        <x:v>0</x:v>
      </x:c>
      <x:c r="J11" s="9" t="str">
        <x:v>Diabetic foot wound with spreading redness, swelling, and tenderness — possible cellulitis/infection requiring same-day evaluation due to high risk of rapid progression and limb-threatening complications.</x:v>
      </x:c>
      <x:c r="K11" s="9" t="str">
        <x:v>Opus low C04</x:v>
      </x:c>
      <x:c r="L11" s="9" t="str">
        <x:v>Fresh three-bucket one-shot cohort</x:v>
      </x:c>
    </x:row>
    <x:row r="12" ht="90" customHeight="1">
      <x:c r="A12" s="9" t="str">
        <x:v>Opus low</x:v>
      </x:c>
      <x:c r="B12" s="9" t="str">
        <x:v>C05</x:v>
      </x:c>
      <x:c r="C12" s="9" t="str">
        <x:v>URGENT_ESCALATION</x:v>
      </x:c>
      <x:c r="D12" s="9" t="str">
        <x:v>URGENT_ESCALATION</x:v>
      </x:c>
      <x:c r="E12" s="9" t="str">
        <x:f>IF(VLOOKUP(B12,'Fable cases'!$A$8:$L$57,8,FALSE)=0,"",VLOOKUP(B12,'Fable cases'!$A$8:$L$57,7,FALSE))</x:f>
        <x:v>URGENT_ESCALATION</x:v>
      </x:c>
      <x:c r="F12" s="10" t="n">
        <x:f>VLOOKUP(B12,'Fable cases'!$A$8:$L$57,8,FALSE)</x:f>
        <x:v>1</x:v>
      </x:c>
      <x:c r="G12" s="10" t="n">
        <x:f>IF(F12=0,"excluded",IF(D12=E12,1,0))</x:f>
        <x:v>1</x:v>
      </x:c>
      <x:c r="H12" s="9" t="str">
        <x:f>VLOOKUP(B12,'Fable cases'!$A$8:$L$57,5,FALSE)</x:f>
        <x:v>URGENT_ESCALATION</x:v>
      </x:c>
      <x:c r="I12" s="10" t="n">
        <x:f>IF(D12=H12,1,0)</x:f>
        <x:v>1</x:v>
      </x:c>
      <x:c r="J12" s="9" t="str">
        <x:v>Passive suicidal ideation with hopelessness represents an acute safety risk requiring immediate crisis assessment, not asynchronous follow-up.</x:v>
      </x:c>
      <x:c r="K12" s="9" t="str">
        <x:v>Opus low C05</x:v>
      </x:c>
      <x:c r="L12" s="9" t="str">
        <x:v>Fresh three-bucket one-shot cohort</x:v>
      </x:c>
    </x:row>
    <x:row r="13" ht="90" customHeight="1">
      <x:c r="A13" s="9" t="str">
        <x:v>Opus low</x:v>
      </x:c>
      <x:c r="B13" s="9" t="str">
        <x:v>C06</x:v>
      </x:c>
      <x:c r="C13" s="9" t="str">
        <x:v>ASYNC_PHYSICIAN</x:v>
      </x:c>
      <x:c r="D13" s="9" t="str">
        <x:v>ASYNC_PHYSICIAN</x:v>
      </x:c>
      <x:c r="E13" s="9" t="str">
        <x:f>IF(VLOOKUP(B13,'Fable cases'!$A$8:$L$57,8,FALSE)=0,"",VLOOKUP(B13,'Fable cases'!$A$8:$L$57,7,FALSE))</x:f>
        <x:v>ASYNC_PHYSICIAN</x:v>
      </x:c>
      <x:c r="F13" s="10" t="n">
        <x:f>VLOOKUP(B13,'Fable cases'!$A$8:$L$57,8,FALSE)</x:f>
        <x:v>1</x:v>
      </x:c>
      <x:c r="G13" s="10" t="n">
        <x:f>IF(F13=0,"excluded",IF(D13=E13,1,0))</x:f>
        <x:v>1</x:v>
      </x:c>
      <x:c r="H13" s="9" t="str">
        <x:f>VLOOKUP(B13,'Fable cases'!$A$8:$L$57,5,FALSE)</x:f>
        <x:v>URGENT_ESCALATION</x:v>
      </x:c>
      <x:c r="I13" s="10" t="n">
        <x:f>IF(D13=H13,1,0)</x:f>
        <x:v>0</x:v>
      </x:c>
      <x:c r="J13" s="9" t="str">
        <x:v>Routine medication refill request for stable, well-controlled hypertension with no red-flag symptoms; requires prescriber action but not urgent.</x:v>
      </x:c>
      <x:c r="K13" s="9" t="str">
        <x:v>Opus low C06</x:v>
      </x:c>
      <x:c r="L13" s="9" t="str">
        <x:v>Fresh three-bucket one-shot cohort</x:v>
      </x:c>
    </x:row>
    <x:row r="14" ht="90" customHeight="1">
      <x:c r="A14" s="9" t="str">
        <x:v>Opus low</x:v>
      </x:c>
      <x:c r="B14" s="9" t="str">
        <x:v>C07</x:v>
      </x:c>
      <x:c r="C14" s="9" t="str">
        <x:v>SELF_CARE</x:v>
      </x:c>
      <x:c r="D14" s="9" t="str">
        <x:v>SELF_CARE</x:v>
      </x:c>
      <x:c r="E14" s="9" t="str">
        <x:f>IF(VLOOKUP(B14,'Fable cases'!$A$8:$L$57,8,FALSE)=0,"",VLOOKUP(B14,'Fable cases'!$A$8:$L$57,7,FALSE))</x:f>
        <x:v>ASYNC_PHYSICIAN</x:v>
      </x:c>
      <x:c r="F14" s="10" t="n">
        <x:f>VLOOKUP(B14,'Fable cases'!$A$8:$L$57,8,FALSE)</x:f>
        <x:v>1</x:v>
      </x:c>
      <x:c r="G14" s="10" t="n">
        <x:f>IF(F14=0,"excluded",IF(D14=E14,1,0))</x:f>
        <x:v>0</x:v>
      </x:c>
      <x:c r="H14" s="9" t="str">
        <x:f>VLOOKUP(B14,'Fable cases'!$A$8:$L$57,5,FALSE)</x:f>
        <x:v>ASYNC_PHYSICIAN</x:v>
      </x:c>
      <x:c r="I14" s="10" t="n">
        <x:f>IF(D14=H14,1,0)</x:f>
        <x:v>0</x:v>
      </x:c>
      <x:c r="J14" s="9" t="str">
        <x:v>Toddler with 2 days of moderate fever, well-hydrated, playful between fevers, no rash or red flags — supportive care and monitoring; seek care if fever &gt;3-5 days, poor intake, lethargy, or new rash.</x:v>
      </x:c>
      <x:c r="K14" s="9" t="str">
        <x:v>Opus low C07</x:v>
      </x:c>
      <x:c r="L14" s="9" t="str">
        <x:v>Fresh three-bucket one-shot cohort</x:v>
      </x:c>
    </x:row>
    <x:row r="15" ht="90" customHeight="1">
      <x:c r="A15" s="9" t="str">
        <x:v>Opus low</x:v>
      </x:c>
      <x:c r="B15" s="9" t="str">
        <x:v>C08</x:v>
      </x:c>
      <x:c r="C15" s="9" t="str">
        <x:v>URGENT_ESCALATION</x:v>
      </x:c>
      <x:c r="D15" s="9" t="str">
        <x:v>URGENT_ESCALATION</x:v>
      </x:c>
      <x:c r="E15" s="9" t="str">
        <x:f>IF(VLOOKUP(B15,'Fable cases'!$A$8:$L$57,8,FALSE)=0,"",VLOOKUP(B15,'Fable cases'!$A$8:$L$57,7,FALSE))</x:f>
        <x:v>URGENT_ESCALATION</x:v>
      </x:c>
      <x:c r="F15" s="10" t="n">
        <x:f>VLOOKUP(B15,'Fable cases'!$A$8:$L$57,8,FALSE)</x:f>
        <x:v>1</x:v>
      </x:c>
      <x:c r="G15" s="10" t="n">
        <x:f>IF(F15=0,"excluded",IF(D15=E15,1,0))</x:f>
        <x:v>1</x:v>
      </x:c>
      <x:c r="H15" s="9" t="str">
        <x:f>VLOOKUP(B15,'Fable cases'!$A$8:$L$57,5,FALSE)</x:f>
        <x:v>ASYNC_PHYSICIAN</x:v>
      </x:c>
      <x:c r="I15" s="10" t="n">
        <x:f>IF(D15=H15,1,0)</x:f>
        <x:v>0</x:v>
      </x:c>
      <x:c r="J15" s="9" t="str">
        <x:v>Thunderclap headache with neck stiffness — possible subarachnoid hemorrhage; needs emergency evaluation now.</x:v>
      </x:c>
      <x:c r="K15" s="9" t="str">
        <x:v>Opus low C08</x:v>
      </x:c>
      <x:c r="L15" s="9" t="str">
        <x:v>Fresh three-bucket one-shot cohort</x:v>
      </x:c>
    </x:row>
    <x:row r="16" ht="90" customHeight="1">
      <x:c r="A16" s="9" t="str">
        <x:v>Opus low</x:v>
      </x:c>
      <x:c r="B16" s="9" t="str">
        <x:v>C09</x:v>
      </x:c>
      <x:c r="C16" s="9" t="str">
        <x:v>URGENT_ESCALATION</x:v>
      </x:c>
      <x:c r="D16" s="9" t="str">
        <x:v>URGENT_ESCALATION</x:v>
      </x:c>
      <x:c r="E16" s="9" t="str">
        <x:f>IF(VLOOKUP(B16,'Fable cases'!$A$8:$L$57,8,FALSE)=0,"",VLOOKUP(B16,'Fable cases'!$A$8:$L$57,7,FALSE))</x:f>
        <x:v>URGENT_ESCALATION</x:v>
      </x:c>
      <x:c r="F16" s="10" t="n">
        <x:f>VLOOKUP(B16,'Fable cases'!$A$8:$L$57,8,FALSE)</x:f>
        <x:v>1</x:v>
      </x:c>
      <x:c r="G16" s="10" t="n">
        <x:f>IF(F16=0,"excluded",IF(D16=E16,1,0))</x:f>
        <x:v>1</x:v>
      </x:c>
      <x:c r="H16" s="9" t="str">
        <x:f>VLOOKUP(B16,'Fable cases'!$A$8:$L$57,5,FALSE)</x:f>
        <x:v>URGENT_ESCALATION</x:v>
      </x:c>
      <x:c r="I16" s="10" t="n">
        <x:f>IF(D16=H16,1,0)</x:f>
        <x:v>1</x:v>
      </x:c>
      <x:c r="J16" s="9" t="str">
        <x:v>32 weeks pregnant with persistent headache, visual changes, and edema — red flags for preeclampsia requiring immediate evaluation.</x:v>
      </x:c>
      <x:c r="K16" s="9" t="str">
        <x:v>Opus low C09</x:v>
      </x:c>
      <x:c r="L16" s="9" t="str">
        <x:v>Fresh three-bucket one-shot cohort</x:v>
      </x:c>
    </x:row>
    <x:row r="17" ht="90" customHeight="1">
      <x:c r="A17" s="9" t="str">
        <x:v>Opus low</x:v>
      </x:c>
      <x:c r="B17" s="9" t="str">
        <x:v>C10</x:v>
      </x:c>
      <x:c r="C17" s="9" t="str">
        <x:v>ASYNC_PHYSICIAN</x:v>
      </x:c>
      <x:c r="D17" s="9" t="str">
        <x:v>ASYNC_PHYSICIAN</x:v>
      </x:c>
      <x:c r="E17" s="9" t="str">
        <x:f>IF(VLOOKUP(B17,'Fable cases'!$A$8:$L$57,8,FALSE)=0,"",VLOOKUP(B17,'Fable cases'!$A$8:$L$57,7,FALSE))</x:f>
        <x:v>ASYNC_PHYSICIAN</x:v>
      </x:c>
      <x:c r="F17" s="10" t="n">
        <x:f>VLOOKUP(B17,'Fable cases'!$A$8:$L$57,8,FALSE)</x:f>
        <x:v>1</x:v>
      </x:c>
      <x:c r="G17" s="10" t="n">
        <x:f>IF(F17=0,"excluded",IF(D17=E17,1,0))</x:f>
        <x:v>1</x:v>
      </x:c>
      <x:c r="H17" s="9" t="str">
        <x:f>VLOOKUP(B17,'Fable cases'!$A$8:$L$57,5,FALSE)</x:f>
        <x:v>ASYNC_PHYSICIAN</x:v>
      </x:c>
      <x:c r="I17" s="10" t="n">
        <x:f>IF(D17=H17,1,0)</x:f>
        <x:v>1</x:v>
      </x:c>
      <x:c r="J17" s="9" t="str">
        <x:v>Intermittent postprandial RUQ pain suggests possible biliary colic/gallstones; needs clinician evaluation and imaging, but no fever or jaundice indicates no emergency.</x:v>
      </x:c>
      <x:c r="K17" s="9" t="str">
        <x:v>Opus low C10</x:v>
      </x:c>
      <x:c r="L17" s="9" t="str">
        <x:v>Fresh three-bucket one-shot cohort</x:v>
      </x:c>
    </x:row>
    <x:row r="18" ht="90" customHeight="1">
      <x:c r="A18" s="9" t="str">
        <x:v>Opus low</x:v>
      </x:c>
      <x:c r="B18" s="9" t="str">
        <x:v>C11</x:v>
      </x:c>
      <x:c r="C18" s="9" t="str">
        <x:v>SELF_CARE</x:v>
      </x:c>
      <x:c r="D18" s="9" t="str">
        <x:v>SELF_CARE</x:v>
      </x:c>
      <x:c r="E18" s="9" t="str">
        <x:f>IF(VLOOKUP(B18,'Fable cases'!$A$8:$L$57,8,FALSE)=0,"",VLOOKUP(B18,'Fable cases'!$A$8:$L$57,7,FALSE))</x:f>
        <x:v>SELF_CARE</x:v>
      </x:c>
      <x:c r="F18" s="10" t="n">
        <x:f>VLOOKUP(B18,'Fable cases'!$A$8:$L$57,8,FALSE)</x:f>
        <x:v>1</x:v>
      </x:c>
      <x:c r="G18" s="10" t="n">
        <x:f>IF(F18=0,"excluded",IF(D18=E18,1,0))</x:f>
        <x:v>1</x:v>
      </x:c>
      <x:c r="H18" s="9" t="str">
        <x:f>VLOOKUP(B18,'Fable cases'!$A$8:$L$57,5,FALSE)</x:f>
        <x:v>URGENT_ESCALATION</x:v>
      </x:c>
      <x:c r="I18" s="10" t="n">
        <x:f>IF(D18=H18,1,0)</x:f>
        <x:v>0</x:v>
      </x:c>
      <x:c r="J18" s="9" t="str">
        <x:v>Localized, non-spreading contact dermatitis-type rash after gardening with no systemic or airway symptoms; manageable with OTC antihistamine/topical steroid and monitoring.</x:v>
      </x:c>
      <x:c r="K18" s="9" t="str">
        <x:v>Opus low C11</x:v>
      </x:c>
      <x:c r="L18" s="9" t="str">
        <x:v>Fresh three-bucket one-shot cohort</x:v>
      </x:c>
    </x:row>
    <x:row r="19" ht="90" customHeight="1">
      <x:c r="A19" s="9" t="str">
        <x:v>Opus low</x:v>
      </x:c>
      <x:c r="B19" s="9" t="str">
        <x:v>C12</x:v>
      </x:c>
      <x:c r="C19" s="9" t="str">
        <x:v>URGENT_ESCALATION</x:v>
      </x:c>
      <x:c r="D19" s="9" t="str">
        <x:v>URGENT_ESCALATION</x:v>
      </x:c>
      <x:c r="E19" s="9" t="str">
        <x:f>IF(VLOOKUP(B19,'Fable cases'!$A$8:$L$57,8,FALSE)=0,"",VLOOKUP(B19,'Fable cases'!$A$8:$L$57,7,FALSE))</x:f>
        <x:v>URGENT_ESCALATION</x:v>
      </x:c>
      <x:c r="F19" s="10" t="n">
        <x:f>VLOOKUP(B19,'Fable cases'!$A$8:$L$57,8,FALSE)</x:f>
        <x:v>1</x:v>
      </x:c>
      <x:c r="G19" s="10" t="n">
        <x:f>IF(F19=0,"excluded",IF(D19=E19,1,0))</x:f>
        <x:v>1</x:v>
      </x:c>
      <x:c r="H19" s="9" t="str">
        <x:f>VLOOKUP(B19,'Fable cases'!$A$8:$L$57,5,FALSE)</x:f>
        <x:v>ASYNC_PHYSICIAN</x:v>
      </x:c>
      <x:c r="I19" s="10" t="n">
        <x:f>IF(D19=H19,1,0)</x:f>
        <x:v>0</x:v>
      </x:c>
      <x:c r="J19" s="9" t="str">
        <x:v>COPD patient with 2 days of worsening dyspnea, now breathless with minimal exertion plus purulent sputum — possible acute exacerbation with infection requiring same-day evaluation and oxygen/work-of-breathing assessment.</x:v>
      </x:c>
      <x:c r="K19" s="9" t="str">
        <x:v>Opus low C12</x:v>
      </x:c>
      <x:c r="L19" s="9" t="str">
        <x:v>Fresh three-bucket one-shot cohort</x:v>
      </x:c>
    </x:row>
    <x:row r="20" ht="90" customHeight="1">
      <x:c r="A20" s="9" t="str">
        <x:v>Opus low</x:v>
      </x:c>
      <x:c r="B20" s="9" t="str">
        <x:v>C13</x:v>
      </x:c>
      <x:c r="C20" s="9" t="str">
        <x:v>ASYNC_PHYSICIAN</x:v>
      </x:c>
      <x:c r="D20" s="9" t="str">
        <x:v>ASYNC_PHYSICIAN</x:v>
      </x:c>
      <x:c r="E20" s="9" t="str">
        <x:f>IF(VLOOKUP(B20,'Fable cases'!$A$8:$L$57,8,FALSE)=0,"",VLOOKUP(B20,'Fable cases'!$A$8:$L$57,7,FALSE))</x:f>
        <x:v>ASYNC_PHYSICIAN</x:v>
      </x:c>
      <x:c r="F20" s="10" t="n">
        <x:f>VLOOKUP(B20,'Fable cases'!$A$8:$L$57,8,FALSE)</x:f>
        <x:v>1</x:v>
      </x:c>
      <x:c r="G20" s="10" t="n">
        <x:f>IF(F20=0,"excluded",IF(D20=E20,1,0))</x:f>
        <x:v>1</x:v>
      </x:c>
      <x:c r="H20" s="9" t="str">
        <x:f>VLOOKUP(B20,'Fable cases'!$A$8:$L$57,5,FALSE)</x:f>
        <x:v>ASYNC_PHYSICIAN</x:v>
      </x:c>
      <x:c r="I20" s="10" t="n">
        <x:f>IF(D20=H20,1,0)</x:f>
        <x:v>1</x:v>
      </x:c>
      <x:c r="J20" s="9" t="str">
        <x:v>Several days of unilateral hand numbness/tingling worse at night suggests a peripheral nerve entrapment (e.g., carpal tunnel); no stroke red flags or weakness, so non-urgent clinician review and possible exam/testing is appropriate.</x:v>
      </x:c>
      <x:c r="K20" s="9" t="str">
        <x:v>Opus low C13</x:v>
      </x:c>
      <x:c r="L20" s="9" t="str">
        <x:v>Fresh three-bucket one-shot cohort</x:v>
      </x:c>
    </x:row>
    <x:row r="21" ht="90" customHeight="1">
      <x:c r="A21" s="9" t="str">
        <x:v>Opus low</x:v>
      </x:c>
      <x:c r="B21" s="9" t="str">
        <x:v>C14</x:v>
      </x:c>
      <x:c r="C21" s="9" t="str">
        <x:v>URGENT_ESCALATION</x:v>
      </x:c>
      <x:c r="D21" s="9" t="str">
        <x:v>URGENT_ESCALATION</x:v>
      </x:c>
      <x:c r="E21" s="9" t="str">
        <x:f>IF(VLOOKUP(B21,'Fable cases'!$A$8:$L$57,8,FALSE)=0,"",VLOOKUP(B21,'Fable cases'!$A$8:$L$57,7,FALSE))</x:f>
        <x:v>URGENT_ESCALATION</x:v>
      </x:c>
      <x:c r="F21" s="10" t="n">
        <x:f>VLOOKUP(B21,'Fable cases'!$A$8:$L$57,8,FALSE)</x:f>
        <x:v>1</x:v>
      </x:c>
      <x:c r="G21" s="10" t="n">
        <x:f>IF(F21=0,"excluded",IF(D21=E21,1,0))</x:f>
        <x:v>1</x:v>
      </x:c>
      <x:c r="H21" s="9" t="str">
        <x:f>VLOOKUP(B21,'Fable cases'!$A$8:$L$57,5,FALSE)</x:f>
        <x:v>URGENT_ESCALATION</x:v>
      </x:c>
      <x:c r="I21" s="10" t="n">
        <x:f>IF(D21=H21,1,0)</x:f>
        <x:v>1</x:v>
      </x:c>
      <x:c r="J21" s="9" t="str">
        <x:v>Acute allergic reaction with lip/tongue swelling, throat tightness, and hives after shrimp — possible anaphylaxis; use epinephrine if available and call emergency services now.</x:v>
      </x:c>
      <x:c r="K21" s="9" t="str">
        <x:v>Opus low C14</x:v>
      </x:c>
      <x:c r="L21" s="9" t="str">
        <x:v>Fresh three-bucket one-shot cohort</x:v>
      </x:c>
    </x:row>
    <x:row r="22" ht="90" customHeight="1">
      <x:c r="A22" s="9" t="str">
        <x:v>Opus low</x:v>
      </x:c>
      <x:c r="B22" s="9" t="str">
        <x:v>C15</x:v>
      </x:c>
      <x:c r="C22" s="9" t="str">
        <x:v>ASYNC_PHYSICIAN</x:v>
      </x:c>
      <x:c r="D22" s="9" t="str">
        <x:v>ASYNC_PHYSICIAN</x:v>
      </x:c>
      <x:c r="E22" s="9" t="str">
        <x:f>IF(VLOOKUP(B22,'Fable cases'!$A$8:$L$57,8,FALSE)=0,"",VLOOKUP(B22,'Fable cases'!$A$8:$L$57,7,FALSE))</x:f>
        <x:v>ASYNC_PHYSICIAN</x:v>
      </x:c>
      <x:c r="F22" s="10" t="n">
        <x:f>VLOOKUP(B22,'Fable cases'!$A$8:$L$57,8,FALSE)</x:f>
        <x:v>1</x:v>
      </x:c>
      <x:c r="G22" s="10" t="n">
        <x:f>IF(F22=0,"excluded",IF(D22=E22,1,0))</x:f>
        <x:v>1</x:v>
      </x:c>
      <x:c r="H22" s="9" t="str">
        <x:f>VLOOKUP(B22,'Fable cases'!$A$8:$L$57,5,FALSE)</x:f>
        <x:v>ASYNC_PHYSICIAN</x:v>
      </x:c>
      <x:c r="I22" s="10" t="n">
        <x:f>IF(D22=H22,1,0)</x:f>
        <x:v>1</x:v>
      </x:c>
      <x:c r="J22" s="9" t="str">
        <x:v>Asymptomatic STI screening request after new partner; needs clinician to order appropriate tests, but no urgent red flags.</x:v>
      </x:c>
      <x:c r="K22" s="9" t="str">
        <x:v>Opus low C15</x:v>
      </x:c>
      <x:c r="L22" s="9" t="str">
        <x:v>Fresh three-bucket one-shot cohort</x:v>
      </x:c>
    </x:row>
    <x:row r="23" ht="90" customHeight="1">
      <x:c r="A23" s="9" t="str">
        <x:v>Opus low</x:v>
      </x:c>
      <x:c r="B23" s="9" t="str">
        <x:v>C16</x:v>
      </x:c>
      <x:c r="C23" s="9" t="str">
        <x:v>URGENT_ESCALATION</x:v>
      </x:c>
      <x:c r="D23" s="9" t="str">
        <x:v>URGENT_ESCALATION</x:v>
      </x:c>
      <x:c r="E23" s="9" t="str">
        <x:f>IF(VLOOKUP(B23,'Fable cases'!$A$8:$L$57,8,FALSE)=0,"",VLOOKUP(B23,'Fable cases'!$A$8:$L$57,7,FALSE))</x:f>
        <x:v>URGENT_ESCALATION</x:v>
      </x:c>
      <x:c r="F23" s="10" t="n">
        <x:f>VLOOKUP(B23,'Fable cases'!$A$8:$L$57,8,FALSE)</x:f>
        <x:v>1</x:v>
      </x:c>
      <x:c r="G23" s="10" t="n">
        <x:f>IF(F23=0,"excluded",IF(D23=E23,1,0))</x:f>
        <x:v>1</x:v>
      </x:c>
      <x:c r="H23" s="9" t="str">
        <x:f>VLOOKUP(B23,'Fable cases'!$A$8:$L$57,5,FALSE)</x:f>
        <x:v>ASYNC_PHYSICIAN</x:v>
      </x:c>
      <x:c r="I23" s="10" t="n">
        <x:f>IF(D23=H23,1,0)</x:f>
        <x:v>0</x:v>
      </x:c>
      <x:c r="J23" s="9" t="str">
        <x:v>Infant under 1 year with fever plus reduced feeding and decreased wet diapers suggests dehydration and needs same-day in-person evaluation.</x:v>
      </x:c>
      <x:c r="K23" s="9" t="str">
        <x:v>Opus low C16</x:v>
      </x:c>
      <x:c r="L23" s="9" t="str">
        <x:v>Fresh three-bucket one-shot cohort</x:v>
      </x:c>
    </x:row>
    <x:row r="24" ht="90" customHeight="1">
      <x:c r="A24" s="9" t="str">
        <x:v>Opus low</x:v>
      </x:c>
      <x:c r="B24" s="9" t="str">
        <x:v>C17</x:v>
      </x:c>
      <x:c r="C24" s="9" t="str">
        <x:v>URGENT_ESCALATION</x:v>
      </x:c>
      <x:c r="D24" s="9" t="str">
        <x:v>URGENT_ESCALATION</x:v>
      </x:c>
      <x:c r="E24" s="9" t="str">
        <x:f>IF(VLOOKUP(B24,'Fable cases'!$A$8:$L$57,8,FALSE)=0,"",VLOOKUP(B24,'Fable cases'!$A$8:$L$57,7,FALSE))</x:f>
        <x:v>URGENT_ESCALATION</x:v>
      </x:c>
      <x:c r="F24" s="10" t="n">
        <x:f>VLOOKUP(B24,'Fable cases'!$A$8:$L$57,8,FALSE)</x:f>
        <x:v>1</x:v>
      </x:c>
      <x:c r="G24" s="10" t="n">
        <x:f>IF(F24=0,"excluded",IF(D24=E24,1,0))</x:f>
        <x:v>1</x:v>
      </x:c>
      <x:c r="H24" s="9" t="str">
        <x:f>VLOOKUP(B24,'Fable cases'!$A$8:$L$57,5,FALSE)</x:f>
        <x:v>ASYNC_PHYSICIAN</x:v>
      </x:c>
      <x:c r="I24" s="10" t="n">
        <x:f>IF(D24=H24,1,0)</x:f>
        <x:v>0</x:v>
      </x:c>
      <x:c r="J24" s="9" t="str">
        <x:v>Back injury with new urinary incontinence and saddle anesthesia suggests cauda equina syndrome — a surgical emergency requiring immediate evaluation.</x:v>
      </x:c>
      <x:c r="K24" s="9" t="str">
        <x:v>Opus low C17</x:v>
      </x:c>
      <x:c r="L24" s="9" t="str">
        <x:v>Fresh three-bucket one-shot cohort</x:v>
      </x:c>
    </x:row>
    <x:row r="25" ht="90" customHeight="1">
      <x:c r="A25" s="9" t="str">
        <x:v>Opus low</x:v>
      </x:c>
      <x:c r="B25" s="9" t="str">
        <x:v>C18</x:v>
      </x:c>
      <x:c r="C25" s="9" t="str">
        <x:v>ASYNC_PHYSICIAN</x:v>
      </x:c>
      <x:c r="D25" s="9" t="str">
        <x:v>ASYNC_PHYSICIAN</x:v>
      </x:c>
      <x:c r="E25" s="9" t="str">
        <x:f>IF(VLOOKUP(B25,'Fable cases'!$A$8:$L$57,8,FALSE)=0,"",VLOOKUP(B25,'Fable cases'!$A$8:$L$57,7,FALSE))</x:f>
        <x:v>ASYNC_PHYSICIAN</x:v>
      </x:c>
      <x:c r="F25" s="10" t="n">
        <x:f>VLOOKUP(B25,'Fable cases'!$A$8:$L$57,8,FALSE)</x:f>
        <x:v>1</x:v>
      </x:c>
      <x:c r="G25" s="10" t="n">
        <x:f>IF(F25=0,"excluded",IF(D25=E25,1,0))</x:f>
        <x:v>1</x:v>
      </x:c>
      <x:c r="H25" s="9" t="str">
        <x:f>VLOOKUP(B25,'Fable cases'!$A$8:$L$57,5,FALSE)</x:f>
        <x:v>ASYNC_PHYSICIAN</x:v>
      </x:c>
      <x:c r="I25" s="10" t="n">
        <x:f>IF(D25=H25,1,0)</x:f>
        <x:v>1</x:v>
      </x:c>
      <x:c r="J25" s="9" t="str">
        <x:v>Routine medication refill request with stable, infrequent rescue inhaler use and no acute symptoms or red flags; can be handled asynchronously by the prescriber.</x:v>
      </x:c>
      <x:c r="K25" s="9" t="str">
        <x:v>Opus low C18</x:v>
      </x:c>
      <x:c r="L25" s="9" t="str">
        <x:v>Fresh three-bucket one-shot cohort</x:v>
      </x:c>
    </x:row>
    <x:row r="26" ht="90" customHeight="1">
      <x:c r="A26" s="9" t="str">
        <x:v>Opus low</x:v>
      </x:c>
      <x:c r="B26" s="9" t="str">
        <x:v>C19</x:v>
      </x:c>
      <x:c r="C26" s="9" t="str">
        <x:v>ASYNC_PHYSICIAN</x:v>
      </x:c>
      <x:c r="D26" s="9" t="str">
        <x:v>ASYNC_PHYSICIAN</x:v>
      </x:c>
      <x:c r="E26" s="9" t="str">
        <x:f>IF(VLOOKUP(B26,'Fable cases'!$A$8:$L$57,8,FALSE)=0,"",VLOOKUP(B26,'Fable cases'!$A$8:$L$57,7,FALSE))</x:f>
        <x:v>ASYNC_PHYSICIAN</x:v>
      </x:c>
      <x:c r="F26" s="10" t="n">
        <x:f>VLOOKUP(B26,'Fable cases'!$A$8:$L$57,8,FALSE)</x:f>
        <x:v>1</x:v>
      </x:c>
      <x:c r="G26" s="10" t="n">
        <x:f>IF(F26=0,"excluded",IF(D26=E26,1,0))</x:f>
        <x:v>1</x:v>
      </x:c>
      <x:c r="H26" s="9" t="str">
        <x:f>VLOOKUP(B26,'Fable cases'!$A$8:$L$57,5,FALSE)</x:f>
        <x:v>SELF_CARE</x:v>
      </x:c>
      <x:c r="I26" s="10" t="n">
        <x:f>IF(D26=H26,1,0)</x:f>
        <x:v>0</x:v>
      </x:c>
      <x:c r="J26" s="9" t="str">
        <x:v>Positional vertigo lasting days with no red flags (no chest pain, focal weakness, or headache) — suggests benign positional vertigo but warrants non-urgent clinician review for evaluation and possible repositioning maneuvers.</x:v>
      </x:c>
      <x:c r="K26" s="9" t="str">
        <x:v>Opus low C19</x:v>
      </x:c>
      <x:c r="L26" s="9" t="str">
        <x:v>Fresh three-bucket one-shot cohort</x:v>
      </x:c>
    </x:row>
    <x:row r="27" ht="90" customHeight="1">
      <x:c r="A27" s="9" t="str">
        <x:v>Opus low</x:v>
      </x:c>
      <x:c r="B27" s="9" t="str">
        <x:v>C20</x:v>
      </x:c>
      <x:c r="C27" s="9" t="str">
        <x:v>URGENT_ESCALATION</x:v>
      </x:c>
      <x:c r="D27" s="9" t="str">
        <x:v>URGENT_ESCALATION</x:v>
      </x:c>
      <x:c r="E27" s="9" t="str">
        <x:f>IF(VLOOKUP(B27,'Fable cases'!$A$8:$L$57,8,FALSE)=0,"",VLOOKUP(B27,'Fable cases'!$A$8:$L$57,7,FALSE))</x:f>
        <x:v>URGENT_ESCALATION</x:v>
      </x:c>
      <x:c r="F27" s="10" t="n">
        <x:f>VLOOKUP(B27,'Fable cases'!$A$8:$L$57,8,FALSE)</x:f>
        <x:v>1</x:v>
      </x:c>
      <x:c r="G27" s="10" t="n">
        <x:f>IF(F27=0,"excluded",IF(D27=E27,1,0))</x:f>
        <x:v>1</x:v>
      </x:c>
      <x:c r="H27" s="9" t="str">
        <x:f>VLOOKUP(B27,'Fable cases'!$A$8:$L$57,5,FALSE)</x:f>
        <x:v>URGENT_ESCALATION</x:v>
      </x:c>
      <x:c r="I27" s="10" t="n">
        <x:f>IF(D27=H27,1,0)</x:f>
        <x:v>1</x:v>
      </x:c>
      <x:c r="J27" s="9" t="str">
        <x:v>Anticoagulated patient with head injury, worsening headache and vomiting — possible intracranial hemorrhage requiring immediate emergency evaluation.</x:v>
      </x:c>
      <x:c r="K27" s="9" t="str">
        <x:v>Opus low C20</x:v>
      </x:c>
      <x:c r="L27" s="9" t="str">
        <x:v>Fresh three-bucket one-shot cohort</x:v>
      </x:c>
    </x:row>
    <x:row r="28" ht="90" customHeight="1">
      <x:c r="A28" s="9" t="str">
        <x:v>Opus low</x:v>
      </x:c>
      <x:c r="B28" s="9" t="str">
        <x:v>C21</x:v>
      </x:c>
      <x:c r="C28" s="9" t="str">
        <x:v>URGENT_ESCALATION</x:v>
      </x:c>
      <x:c r="D28" s="9" t="str">
        <x:v>URGENT_ESCALATION</x:v>
      </x:c>
      <x:c r="E28" s="9" t="str">
        <x:f>IF(VLOOKUP(B28,'Fable cases'!$A$8:$L$57,8,FALSE)=0,"",VLOOKUP(B28,'Fable cases'!$A$8:$L$57,7,FALSE))</x:f>
        <x:v>URGENT_ESCALATION</x:v>
      </x:c>
      <x:c r="F28" s="10" t="n">
        <x:f>VLOOKUP(B28,'Fable cases'!$A$8:$L$57,8,FALSE)</x:f>
        <x:v>1</x:v>
      </x:c>
      <x:c r="G28" s="10" t="n">
        <x:f>IF(F28=0,"excluded",IF(D28=E28,1,0))</x:f>
        <x:v>1</x:v>
      </x:c>
      <x:c r="H28" s="9" t="str">
        <x:f>VLOOKUP(B28,'Fable cases'!$A$8:$L$57,5,FALSE)</x:f>
        <x:v>URGENT_ESCALATION</x:v>
      </x:c>
      <x:c r="I28" s="10" t="n">
        <x:f>IF(D28=H28,1,0)</x:f>
        <x:v>1</x:v>
      </x:c>
      <x:c r="J28" s="9" t="str">
        <x:v>Sudden painless monocular vision loss with curtain-like descent suggests retinal detachment or retinal artery occlusion/TIA — requires immediate emergency eye and stroke evaluation.</x:v>
      </x:c>
      <x:c r="K28" s="9" t="str">
        <x:v>Opus low C21</x:v>
      </x:c>
      <x:c r="L28" s="9" t="str">
        <x:v>Fresh three-bucket one-shot cohort</x:v>
      </x:c>
    </x:row>
    <x:row r="29" ht="90" customHeight="1">
      <x:c r="A29" s="9" t="str">
        <x:v>Opus low</x:v>
      </x:c>
      <x:c r="B29" s="9" t="str">
        <x:v>C22</x:v>
      </x:c>
      <x:c r="C29" s="9" t="str">
        <x:v>SELF_CARE</x:v>
      </x:c>
      <x:c r="D29" s="9" t="str">
        <x:v>SELF_CARE</x:v>
      </x:c>
      <x:c r="E29" s="9" t="str">
        <x:f>IF(VLOOKUP(B29,'Fable cases'!$A$8:$L$57,8,FALSE)=0,"",VLOOKUP(B29,'Fable cases'!$A$8:$L$57,7,FALSE))</x:f>
        <x:v>ASYNC_PHYSICIAN</x:v>
      </x:c>
      <x:c r="F29" s="10" t="n">
        <x:f>VLOOKUP(B29,'Fable cases'!$A$8:$L$57,8,FALSE)</x:f>
        <x:v>1</x:v>
      </x:c>
      <x:c r="G29" s="10" t="n">
        <x:f>IF(F29=0,"excluded",IF(D29=E29,1,0))</x:f>
        <x:v>0</x:v>
      </x:c>
      <x:c r="H29" s="9" t="str">
        <x:f>VLOOKUP(B29,'Fable cases'!$A$8:$L$57,5,FALSE)</x:f>
        <x:v>ASYNC_PHYSICIAN</x:v>
      </x:c>
      <x:c r="I29" s="10" t="n">
        <x:f>IF(D29=H29,1,0)</x:f>
        <x:v>0</x:v>
      </x:c>
      <x:c r="J29" s="9" t="str">
        <x:v>Likely simple lateral ankle sprain with preserved weight-bearing and no red flags; manage with rest, ice, compression, elevation and OTC analgesia, seeking care if unable to bear weight, worsening, or no improvement in several days.</x:v>
      </x:c>
      <x:c r="K29" s="9" t="str">
        <x:v>Opus low C22</x:v>
      </x:c>
      <x:c r="L29" s="9" t="str">
        <x:v>Fresh three-bucket one-shot cohort</x:v>
      </x:c>
    </x:row>
    <x:row r="30" ht="90" customHeight="1">
      <x:c r="A30" s="9" t="str">
        <x:v>Opus low</x:v>
      </x:c>
      <x:c r="B30" s="9" t="str">
        <x:v>C23</x:v>
      </x:c>
      <x:c r="C30" s="9" t="str">
        <x:v>URGENT_ESCALATION</x:v>
      </x:c>
      <x:c r="D30" s="9" t="str">
        <x:v>URGENT_ESCALATION</x:v>
      </x:c>
      <x:c r="E30" s="9" t="str">
        <x:f>IF(VLOOKUP(B30,'Fable cases'!$A$8:$L$57,8,FALSE)=0,"",VLOOKUP(B30,'Fable cases'!$A$8:$L$57,7,FALSE))</x:f>
        <x:v>URGENT_ESCALATION</x:v>
      </x:c>
      <x:c r="F30" s="10" t="n">
        <x:f>VLOOKUP(B30,'Fable cases'!$A$8:$L$57,8,FALSE)</x:f>
        <x:v>1</x:v>
      </x:c>
      <x:c r="G30" s="10" t="n">
        <x:f>IF(F30=0,"excluded",IF(D30=E30,1,0))</x:f>
        <x:v>1</x:v>
      </x:c>
      <x:c r="H30" s="9" t="str">
        <x:f>VLOOKUP(B30,'Fable cases'!$A$8:$L$57,5,FALSE)</x:f>
        <x:v>ASYNC_PHYSICIAN</x:v>
      </x:c>
      <x:c r="I30" s="10" t="n">
        <x:f>IF(D30=H30,1,0)</x:f>
        <x:v>0</x:v>
      </x:c>
      <x:c r="J30" s="9" t="str">
        <x:v>Transient slurred speech and unilateral facial droop indicate a likely TIA — high short-term stroke risk requiring immediate emergency evaluation (call 911) despite symptom resolution.</x:v>
      </x:c>
      <x:c r="K30" s="9" t="str">
        <x:v>Opus low C23</x:v>
      </x:c>
      <x:c r="L30" s="9" t="str">
        <x:v>Fresh three-bucket one-shot cohort</x:v>
      </x:c>
    </x:row>
    <x:row r="31" ht="90" customHeight="1">
      <x:c r="A31" s="9" t="str">
        <x:v>Opus low</x:v>
      </x:c>
      <x:c r="B31" s="9" t="str">
        <x:v>C24</x:v>
      </x:c>
      <x:c r="C31" s="9" t="str">
        <x:v>ASYNC_PHYSICIAN</x:v>
      </x:c>
      <x:c r="D31" s="9" t="str">
        <x:v>ASYNC_PHYSICIAN</x:v>
      </x:c>
      <x:c r="E31" s="9" t="str">
        <x:f>IF(VLOOKUP(B31,'Fable cases'!$A$8:$L$57,8,FALSE)=0,"",VLOOKUP(B31,'Fable cases'!$A$8:$L$57,7,FALSE))</x:f>
        <x:v>ASYNC_PHYSICIAN</x:v>
      </x:c>
      <x:c r="F31" s="10" t="n">
        <x:f>VLOOKUP(B31,'Fable cases'!$A$8:$L$57,8,FALSE)</x:f>
        <x:v>1</x:v>
      </x:c>
      <x:c r="G31" s="10" t="n">
        <x:f>IF(F31=0,"excluded",IF(D31=E31,1,0))</x:f>
        <x:v>1</x:v>
      </x:c>
      <x:c r="H31" s="9" t="str">
        <x:f>VLOOKUP(B31,'Fable cases'!$A$8:$L$57,5,FALSE)</x:f>
        <x:v>ASYNC_PHYSICIAN</x:v>
      </x:c>
      <x:c r="I31" s="10" t="n">
        <x:f>IF(D31=H31,1,0)</x:f>
        <x:v>1</x:v>
      </x:c>
      <x:c r="J31" s="9" t="str">
        <x:v>Routine contraceptive refill request with stable long-term use and no red flags; can be handled asynchronously by a clinician.</x:v>
      </x:c>
      <x:c r="K31" s="9" t="str">
        <x:v>Opus low C24</x:v>
      </x:c>
      <x:c r="L31" s="9" t="str">
        <x:v>Fresh three-bucket one-shot cohort</x:v>
      </x:c>
    </x:row>
    <x:row r="32" ht="90" customHeight="1">
      <x:c r="A32" s="9" t="str">
        <x:v>Opus low</x:v>
      </x:c>
      <x:c r="B32" s="9" t="str">
        <x:v>C25</x:v>
      </x:c>
      <x:c r="C32" s="9" t="str">
        <x:v>URGENT_ESCALATION</x:v>
      </x:c>
      <x:c r="D32" s="9" t="str">
        <x:v>URGENT_ESCALATION</x:v>
      </x:c>
      <x:c r="E32" s="9" t="str">
        <x:f>IF(VLOOKUP(B32,'Fable cases'!$A$8:$L$57,8,FALSE)=0,"",VLOOKUP(B32,'Fable cases'!$A$8:$L$57,7,FALSE))</x:f>
      </x:c>
      <x:c r="F32" s="10" t="n">
        <x:f>VLOOKUP(B32,'Fable cases'!$A$8:$L$57,8,FALSE)</x:f>
        <x:v>0</x:v>
      </x:c>
      <x:c r="G32" s="10" t="str">
        <x:f>IF(F32=0,"excluded",IF(D32=E32,1,0))</x:f>
        <x:v>excluded</x:v>
      </x:c>
      <x:c r="H32" s="9" t="str">
        <x:f>VLOOKUP(B32,'Fable cases'!$A$8:$L$57,5,FALSE)</x:f>
        <x:v>ASYNC_PHYSICIAN</x:v>
      </x:c>
      <x:c r="I32" s="10" t="n">
        <x:f>IF(D32=H32,1,0)</x:f>
        <x:v>0</x:v>
      </x:c>
      <x:c r="J32" s="9" t="str">
        <x:v>Unilateral calf pain, swelling, and warmth after long-haul flight suggests possible DVT, which requires same-day evaluation and imaging due to risk of pulmonary embolism.</x:v>
      </x:c>
      <x:c r="K32" s="9" t="str">
        <x:v>Opus low C25</x:v>
      </x:c>
      <x:c r="L32" s="9" t="str">
        <x:v>Fresh three-bucket one-shot cohort</x:v>
      </x:c>
    </x:row>
    <x:row r="33" ht="90" customHeight="1">
      <x:c r="A33" s="9" t="str">
        <x:v>Opus low</x:v>
      </x:c>
      <x:c r="B33" s="9" t="str">
        <x:v>C26</x:v>
      </x:c>
      <x:c r="C33" s="9" t="str">
        <x:v>SELF_CARE</x:v>
      </x:c>
      <x:c r="D33" s="9" t="str">
        <x:v>SELF_CARE</x:v>
      </x:c>
      <x:c r="E33" s="9" t="str">
        <x:f>IF(VLOOKUP(B33,'Fable cases'!$A$8:$L$57,8,FALSE)=0,"",VLOOKUP(B33,'Fable cases'!$A$8:$L$57,7,FALSE))</x:f>
        <x:v>SELF_CARE</x:v>
      </x:c>
      <x:c r="F33" s="10" t="n">
        <x:f>VLOOKUP(B33,'Fable cases'!$A$8:$L$57,8,FALSE)</x:f>
        <x:v>1</x:v>
      </x:c>
      <x:c r="G33" s="10" t="n">
        <x:f>IF(F33=0,"excluded",IF(D33=E33,1,0))</x:f>
        <x:v>1</x:v>
      </x:c>
      <x:c r="H33" s="9" t="str">
        <x:f>VLOOKUP(B33,'Fable cases'!$A$8:$L$57,5,FALSE)</x:f>
        <x:v>SELF_CARE</x:v>
      </x:c>
      <x:c r="I33" s="10" t="n">
        <x:f>IF(D33=H33,1,0)</x:f>
        <x:v>1</x:v>
      </x:c>
      <x:c r="J33" s="9" t="str">
        <x:v>Mild, brief sore throat without fever, dysphagia, or other red flags; suitable for OTC analgesics, lozenges, saltwater gargles and monitoring.</x:v>
      </x:c>
      <x:c r="K33" s="9" t="str">
        <x:v>Opus low C26</x:v>
      </x:c>
      <x:c r="L33" s="9" t="str">
        <x:v>Fresh three-bucket one-shot cohort</x:v>
      </x:c>
    </x:row>
    <x:row r="34" ht="90" customHeight="1">
      <x:c r="A34" s="9" t="str">
        <x:v>Opus low</x:v>
      </x:c>
      <x:c r="B34" s="9" t="str">
        <x:v>C27</x:v>
      </x:c>
      <x:c r="C34" s="9" t="str">
        <x:v>URGENT_ESCALATION</x:v>
      </x:c>
      <x:c r="D34" s="9" t="str">
        <x:v>URGENT_ESCALATION</x:v>
      </x:c>
      <x:c r="E34" s="9" t="str">
        <x:f>IF(VLOOKUP(B34,'Fable cases'!$A$8:$L$57,8,FALSE)=0,"",VLOOKUP(B34,'Fable cases'!$A$8:$L$57,7,FALSE))</x:f>
        <x:v>URGENT_ESCALATION</x:v>
      </x:c>
      <x:c r="F34" s="10" t="n">
        <x:f>VLOOKUP(B34,'Fable cases'!$A$8:$L$57,8,FALSE)</x:f>
        <x:v>1</x:v>
      </x:c>
      <x:c r="G34" s="10" t="n">
        <x:f>IF(F34=0,"excluded",IF(D34=E34,1,0))</x:f>
        <x:v>1</x:v>
      </x:c>
      <x:c r="H34" s="9" t="str">
        <x:f>VLOOKUP(B34,'Fable cases'!$A$8:$L$57,5,FALSE)</x:f>
        <x:v>URGENT_ESCALATION</x:v>
      </x:c>
      <x:c r="I34" s="10" t="n">
        <x:f>IF(D34=H34,1,0)</x:f>
        <x:v>1</x:v>
      </x:c>
      <x:c r="J34" s="9" t="str">
        <x:v>70F with severe abdominal pain, distension, vomiting, and obstipation — concerning for bowel obstruction; needs emergency evaluation now.</x:v>
      </x:c>
      <x:c r="K34" s="9" t="str">
        <x:v>Opus low C27</x:v>
      </x:c>
      <x:c r="L34" s="9" t="str">
        <x:v>Fresh three-bucket one-shot cohort</x:v>
      </x:c>
    </x:row>
    <x:row r="35" ht="90" customHeight="1">
      <x:c r="A35" s="9" t="str">
        <x:v>Opus low</x:v>
      </x:c>
      <x:c r="B35" s="9" t="str">
        <x:v>C28</x:v>
      </x:c>
      <x:c r="C35" s="9" t="str">
        <x:v>URGENT_ESCALATION</x:v>
      </x:c>
      <x:c r="D35" s="9" t="str">
        <x:v>URGENT_ESCALATION</x:v>
      </x:c>
      <x:c r="E35" s="9" t="str">
        <x:f>IF(VLOOKUP(B35,'Fable cases'!$A$8:$L$57,8,FALSE)=0,"",VLOOKUP(B35,'Fable cases'!$A$8:$L$57,7,FALSE))</x:f>
        <x:v>URGENT_ESCALATION</x:v>
      </x:c>
      <x:c r="F35" s="10" t="n">
        <x:f>VLOOKUP(B35,'Fable cases'!$A$8:$L$57,8,FALSE)</x:f>
        <x:v>1</x:v>
      </x:c>
      <x:c r="G35" s="10" t="n">
        <x:f>IF(F35=0,"excluded",IF(D35=E35,1,0))</x:f>
        <x:v>1</x:v>
      </x:c>
      <x:c r="H35" s="9" t="str">
        <x:f>VLOOKUP(B35,'Fable cases'!$A$8:$L$57,5,FALSE)</x:f>
        <x:v>URGENT_ESCALATION</x:v>
      </x:c>
      <x:c r="I35" s="10" t="n">
        <x:f>IF(D35=H35,1,0)</x:f>
        <x:v>1</x:v>
      </x:c>
      <x:c r="J35" s="9" t="str">
        <x:v>First-trimester pregnancy with heavier-than-spotting vaginal bleeding and cramping — possible miscarriage or ectopic pregnancy; needs same-day evaluation with exam, ultrasound, and hCG.</x:v>
      </x:c>
      <x:c r="K35" s="9" t="str">
        <x:v>Opus low C28</x:v>
      </x:c>
      <x:c r="L35" s="9" t="str">
        <x:v>Fresh three-bucket one-shot cohort</x:v>
      </x:c>
    </x:row>
    <x:row r="36" ht="90" customHeight="1">
      <x:c r="A36" s="9" t="str">
        <x:v>Opus low</x:v>
      </x:c>
      <x:c r="B36" s="9" t="str">
        <x:v>C29</x:v>
      </x:c>
      <x:c r="C36" s="9" t="str">
        <x:v>ASYNC_PHYSICIAN</x:v>
      </x:c>
      <x:c r="D36" s="9" t="str">
        <x:v>ASYNC_PHYSICIAN</x:v>
      </x:c>
      <x:c r="E36" s="9" t="str">
        <x:f>IF(VLOOKUP(B36,'Fable cases'!$A$8:$L$57,8,FALSE)=0,"",VLOOKUP(B36,'Fable cases'!$A$8:$L$57,7,FALSE))</x:f>
        <x:v>ASYNC_PHYSICIAN</x:v>
      </x:c>
      <x:c r="F36" s="10" t="n">
        <x:f>VLOOKUP(B36,'Fable cases'!$A$8:$L$57,8,FALSE)</x:f>
        <x:v>1</x:v>
      </x:c>
      <x:c r="G36" s="10" t="n">
        <x:f>IF(F36=0,"excluded",IF(D36=E36,1,0))</x:f>
        <x:v>1</x:v>
      </x:c>
      <x:c r="H36" s="9" t="str">
        <x:f>VLOOKUP(B36,'Fable cases'!$A$8:$L$57,5,FALSE)</x:f>
        <x:v>ASYNC_PHYSICIAN</x:v>
      </x:c>
      <x:c r="I36" s="10" t="n">
        <x:f>IF(D36=H36,1,0)</x:f>
        <x:v>1</x:v>
      </x:c>
      <x:c r="J36" s="9" t="str">
        <x:v>Non-urgent request for lab result interpretation and possible treatment adjustment; requires clinician review but no red-flag symptoms.</x:v>
      </x:c>
      <x:c r="K36" s="9" t="str">
        <x:v>Opus low C29</x:v>
      </x:c>
      <x:c r="L36" s="9" t="str">
        <x:v>Fresh three-bucket one-shot cohort</x:v>
      </x:c>
    </x:row>
    <x:row r="37" ht="90" customHeight="1">
      <x:c r="A37" s="9" t="str">
        <x:v>Opus low</x:v>
      </x:c>
      <x:c r="B37" s="9" t="str">
        <x:v>C30</x:v>
      </x:c>
      <x:c r="C37" s="9" t="str">
        <x:v>SELF_CARE</x:v>
      </x:c>
      <x:c r="D37" s="9" t="str">
        <x:v>SELF_CARE</x:v>
      </x:c>
      <x:c r="E37" s="9" t="str">
        <x:f>IF(VLOOKUP(B37,'Fable cases'!$A$8:$L$57,8,FALSE)=0,"",VLOOKUP(B37,'Fable cases'!$A$8:$L$57,7,FALSE))</x:f>
        <x:v>SELF_CARE</x:v>
      </x:c>
      <x:c r="F37" s="10" t="n">
        <x:f>VLOOKUP(B37,'Fable cases'!$A$8:$L$57,8,FALSE)</x:f>
        <x:v>1</x:v>
      </x:c>
      <x:c r="G37" s="10" t="n">
        <x:f>IF(F37=0,"excluded",IF(D37=E37,1,0))</x:f>
        <x:v>1</x:v>
      </x:c>
      <x:c r="H37" s="9" t="str">
        <x:f>VLOOKUP(B37,'Fable cases'!$A$8:$L$57,5,FALSE)</x:f>
        <x:v>URGENT_ESCALATION</x:v>
      </x:c>
      <x:c r="I37" s="10" t="n">
        <x:f>IF(D37=H37,1,0)</x:f>
        <x:v>0</x:v>
      </x:c>
      <x:c r="J37" s="9" t="str">
        <x:v>Localized contact dermatitis from poison ivy without facial/genital involvement, systemic symptoms, or airway compromise; manage with OTC topical steroids, antihistamines, cool compresses, and seek care if it worsens or spreads widely.</x:v>
      </x:c>
      <x:c r="K37" s="9" t="str">
        <x:v>Opus low C30</x:v>
      </x:c>
      <x:c r="L37" s="9" t="str">
        <x:v>Fresh three-bucket one-shot cohort</x:v>
      </x:c>
    </x:row>
    <x:row r="38" ht="90" customHeight="1">
      <x:c r="A38" s="9" t="str">
        <x:v>Opus low</x:v>
      </x:c>
      <x:c r="B38" s="9" t="str">
        <x:v>C31</x:v>
      </x:c>
      <x:c r="C38" s="9" t="str">
        <x:v>URGENT_ESCALATION</x:v>
      </x:c>
      <x:c r="D38" s="9" t="str">
        <x:v>URGENT_ESCALATION</x:v>
      </x:c>
      <x:c r="E38" s="9" t="str">
        <x:f>IF(VLOOKUP(B38,'Fable cases'!$A$8:$L$57,8,FALSE)=0,"",VLOOKUP(B38,'Fable cases'!$A$8:$L$57,7,FALSE))</x:f>
        <x:v>URGENT_ESCALATION</x:v>
      </x:c>
      <x:c r="F38" s="10" t="n">
        <x:f>VLOOKUP(B38,'Fable cases'!$A$8:$L$57,8,FALSE)</x:f>
        <x:v>1</x:v>
      </x:c>
      <x:c r="G38" s="10" t="n">
        <x:f>IF(F38=0,"excluded",IF(D38=E38,1,0))</x:f>
        <x:v>1</x:v>
      </x:c>
      <x:c r="H38" s="9" t="str">
        <x:f>VLOOKUP(B38,'Fable cases'!$A$8:$L$57,5,FALSE)</x:f>
        <x:v>URGENT_ESCALATION</x:v>
      </x:c>
      <x:c r="I38" s="10" t="n">
        <x:f>IF(D38=H38,1,0)</x:f>
        <x:v>1</x:v>
      </x:c>
      <x:c r="J38" s="9" t="str">
        <x:v>Fever, headache, neck stiffness, and photophobia suggest possible meningitis — needs immediate emergency evaluation.</x:v>
      </x:c>
      <x:c r="K38" s="9" t="str">
        <x:v>Opus low C31</x:v>
      </x:c>
      <x:c r="L38" s="9" t="str">
        <x:v>Fresh three-bucket one-shot cohort</x:v>
      </x:c>
    </x:row>
    <x:row r="39" ht="90" customHeight="1">
      <x:c r="A39" s="9" t="str">
        <x:v>Opus low</x:v>
      </x:c>
      <x:c r="B39" s="9" t="str">
        <x:v>C32</x:v>
      </x:c>
      <x:c r="C39" s="9" t="str">
        <x:v>ASYNC_PHYSICIAN</x:v>
      </x:c>
      <x:c r="D39" s="9" t="str">
        <x:v>ASYNC_PHYSICIAN</x:v>
      </x:c>
      <x:c r="E39" s="9" t="str">
        <x:f>IF(VLOOKUP(B39,'Fable cases'!$A$8:$L$57,8,FALSE)=0,"",VLOOKUP(B39,'Fable cases'!$A$8:$L$57,7,FALSE))</x:f>
        <x:v>ASYNC_PHYSICIAN</x:v>
      </x:c>
      <x:c r="F39" s="10" t="n">
        <x:f>VLOOKUP(B39,'Fable cases'!$A$8:$L$57,8,FALSE)</x:f>
        <x:v>1</x:v>
      </x:c>
      <x:c r="G39" s="10" t="n">
        <x:f>IF(F39=0,"excluded",IF(D39=E39,1,0))</x:f>
        <x:v>1</x:v>
      </x:c>
      <x:c r="H39" s="9" t="str">
        <x:f>VLOOKUP(B39,'Fable cases'!$A$8:$L$57,5,FALSE)</x:f>
        <x:v>ASYNC_PHYSICIAN</x:v>
      </x:c>
      <x:c r="I39" s="10" t="n">
        <x:f>IF(D39=H39,1,0)</x:f>
        <x:v>1</x:v>
      </x:c>
      <x:c r="J39" s="9" t="str">
        <x:v>Likely otitis media/ear pain in a child; no fever or red flags (no swelling behind ear, no severe systemic symptoms), so non-urgent clinician review for possible exam or treatment is appropriate.</x:v>
      </x:c>
      <x:c r="K39" s="9" t="str">
        <x:v>Opus low C32</x:v>
      </x:c>
      <x:c r="L39" s="9" t="str">
        <x:v>Fresh three-bucket one-shot cohort</x:v>
      </x:c>
    </x:row>
    <x:row r="40" ht="90" customHeight="1">
      <x:c r="A40" s="9" t="str">
        <x:v>Opus low</x:v>
      </x:c>
      <x:c r="B40" s="9" t="str">
        <x:v>C33</x:v>
      </x:c>
      <x:c r="C40" s="9" t="str">
        <x:v>URGENT_ESCALATION</x:v>
      </x:c>
      <x:c r="D40" s="9" t="str">
        <x:v>URGENT_ESCALATION</x:v>
      </x:c>
      <x:c r="E40" s="9" t="str">
        <x:f>IF(VLOOKUP(B40,'Fable cases'!$A$8:$L$57,8,FALSE)=0,"",VLOOKUP(B40,'Fable cases'!$A$8:$L$57,7,FALSE))</x:f>
        <x:v>URGENT_ESCALATION</x:v>
      </x:c>
      <x:c r="F40" s="10" t="n">
        <x:f>VLOOKUP(B40,'Fable cases'!$A$8:$L$57,8,FALSE)</x:f>
        <x:v>1</x:v>
      </x:c>
      <x:c r="G40" s="10" t="n">
        <x:f>IF(F40=0,"excluded",IF(D40=E40,1,0))</x:f>
        <x:v>1</x:v>
      </x:c>
      <x:c r="H40" s="9" t="str">
        <x:f>VLOOKUP(B40,'Fable cases'!$A$8:$L$57,5,FALSE)</x:f>
        <x:v>URGENT_ESCALATION</x:v>
      </x:c>
      <x:c r="I40" s="10" t="n">
        <x:f>IF(D40=H40,1,0)</x:f>
        <x:v>1</x:v>
      </x:c>
      <x:c r="J40" s="9" t="str">
        <x:v>Glucose &gt;400 with vomiting and inability to tolerate fluids suggests possible DKA/hyperglycemic crisis requiring immediate same-day emergency evaluation.</x:v>
      </x:c>
      <x:c r="K40" s="9" t="str">
        <x:v>Opus low C33</x:v>
      </x:c>
      <x:c r="L40" s="9" t="str">
        <x:v>Fresh three-bucket one-shot cohort</x:v>
      </x:c>
    </x:row>
    <x:row r="41" ht="90" customHeight="1">
      <x:c r="A41" s="9" t="str">
        <x:v>Opus low</x:v>
      </x:c>
      <x:c r="B41" s="9" t="str">
        <x:v>C34</x:v>
      </x:c>
      <x:c r="C41" s="9" t="str">
        <x:v>SELF_CARE</x:v>
      </x:c>
      <x:c r="D41" s="9" t="str">
        <x:v>SELF_CARE</x:v>
      </x:c>
      <x:c r="E41" s="9" t="str">
        <x:f>IF(VLOOKUP(B41,'Fable cases'!$A$8:$L$57,8,FALSE)=0,"",VLOOKUP(B41,'Fable cases'!$A$8:$L$57,7,FALSE))</x:f>
        <x:v>ASYNC_PHYSICIAN</x:v>
      </x:c>
      <x:c r="F41" s="10" t="n">
        <x:f>VLOOKUP(B41,'Fable cases'!$A$8:$L$57,8,FALSE)</x:f>
        <x:v>1</x:v>
      </x:c>
      <x:c r="G41" s="10" t="n">
        <x:f>IF(F41=0,"excluded",IF(D41=E41,1,0))</x:f>
        <x:v>0</x:v>
      </x:c>
      <x:c r="H41" s="9" t="str">
        <x:f>VLOOKUP(B41,'Fable cases'!$A$8:$L$57,5,FALSE)</x:f>
        <x:v>SELF_CARE</x:v>
      </x:c>
      <x:c r="I41" s="10" t="n">
        <x:f>IF(D41=H41,1,0)</x:f>
        <x:v>1</x:v>
      </x:c>
      <x:c r="J41" s="9" t="str">
        <x:v>Mild seasonal allergy symptoms without red flags; OTC antihistamines (e.g., cetirizine/loratadine) and saline or intranasal steroid spray are appropriate self-management.</x:v>
      </x:c>
      <x:c r="K41" s="9" t="str">
        <x:v>Opus low C34</x:v>
      </x:c>
      <x:c r="L41" s="9" t="str">
        <x:v>Fresh three-bucket one-shot cohort</x:v>
      </x:c>
    </x:row>
    <x:row r="42" ht="90" customHeight="1">
      <x:c r="A42" s="9" t="str">
        <x:v>Opus low</x:v>
      </x:c>
      <x:c r="B42" s="9" t="str">
        <x:v>C35</x:v>
      </x:c>
      <x:c r="C42" s="9" t="str">
        <x:v>URGENT_ESCALATION</x:v>
      </x:c>
      <x:c r="D42" s="9" t="str">
        <x:v>URGENT_ESCALATION</x:v>
      </x:c>
      <x:c r="E42" s="9" t="str">
        <x:f>IF(VLOOKUP(B42,'Fable cases'!$A$8:$L$57,8,FALSE)=0,"",VLOOKUP(B42,'Fable cases'!$A$8:$L$57,7,FALSE))</x:f>
        <x:v>URGENT_ESCALATION</x:v>
      </x:c>
      <x:c r="F42" s="10" t="n">
        <x:f>VLOOKUP(B42,'Fable cases'!$A$8:$L$57,8,FALSE)</x:f>
        <x:v>1</x:v>
      </x:c>
      <x:c r="G42" s="10" t="n">
        <x:f>IF(F42=0,"excluded",IF(D42=E42,1,0))</x:f>
        <x:v>1</x:v>
      </x:c>
      <x:c r="H42" s="9" t="str">
        <x:f>VLOOKUP(B42,'Fable cases'!$A$8:$L$57,5,FALSE)</x:f>
        <x:v>ASYNC_PHYSICIAN</x:v>
      </x:c>
      <x:c r="I42" s="10" t="n">
        <x:f>IF(D42=H42,1,0)</x:f>
        <x:v>0</x:v>
      </x:c>
      <x:c r="J42" s="9" t="str">
        <x:v>Melena with orthostatic lightheadedness suggests active upper GI bleeding with possible hemodynamic compromise — needs emergency evaluation now.</x:v>
      </x:c>
      <x:c r="K42" s="9" t="str">
        <x:v>Opus low C35</x:v>
      </x:c>
      <x:c r="L42" s="9" t="str">
        <x:v>Fresh three-bucket one-shot cohort</x:v>
      </x:c>
    </x:row>
    <x:row r="43" ht="90" customHeight="1">
      <x:c r="A43" s="9" t="str">
        <x:v>Opus low</x:v>
      </x:c>
      <x:c r="B43" s="9" t="str">
        <x:v>C36</x:v>
      </x:c>
      <x:c r="C43" s="9" t="str">
        <x:v>ASYNC_PHYSICIAN</x:v>
      </x:c>
      <x:c r="D43" s="9" t="str">
        <x:v>ASYNC_PHYSICIAN</x:v>
      </x:c>
      <x:c r="E43" s="9" t="str">
        <x:f>IF(VLOOKUP(B43,'Fable cases'!$A$8:$L$57,8,FALSE)=0,"",VLOOKUP(B43,'Fable cases'!$A$8:$L$57,7,FALSE))</x:f>
        <x:v>ASYNC_PHYSICIAN</x:v>
      </x:c>
      <x:c r="F43" s="10" t="n">
        <x:f>VLOOKUP(B43,'Fable cases'!$A$8:$L$57,8,FALSE)</x:f>
        <x:v>1</x:v>
      </x:c>
      <x:c r="G43" s="10" t="n">
        <x:f>IF(F43=0,"excluded",IF(D43=E43,1,0))</x:f>
        <x:v>1</x:v>
      </x:c>
      <x:c r="H43" s="9" t="str">
        <x:f>VLOOKUP(B43,'Fable cases'!$A$8:$L$57,5,FALSE)</x:f>
        <x:v>ASYNC_PHYSICIAN</x:v>
      </x:c>
      <x:c r="I43" s="10" t="n">
        <x:f>IF(D43=H43,1,0)</x:f>
        <x:v>1</x:v>
      </x:c>
      <x:c r="J43" s="9" t="str">
        <x:v>Chronic acne unresponsive to OTC care; needs clinician review for prescription options, non-urgent.</x:v>
      </x:c>
      <x:c r="K43" s="9" t="str">
        <x:v>Opus low C36</x:v>
      </x:c>
      <x:c r="L43" s="9" t="str">
        <x:v>Fresh three-bucket one-shot cohort</x:v>
      </x:c>
    </x:row>
    <x:row r="44" ht="90" customHeight="1">
      <x:c r="A44" s="9" t="str">
        <x:v>Opus low</x:v>
      </x:c>
      <x:c r="B44" s="9" t="str">
        <x:v>C37</x:v>
      </x:c>
      <x:c r="C44" s="9" t="str">
        <x:v>URGENT_ESCALATION</x:v>
      </x:c>
      <x:c r="D44" s="9" t="str">
        <x:v>URGENT_ESCALATION</x:v>
      </x:c>
      <x:c r="E44" s="9" t="str">
        <x:f>IF(VLOOKUP(B44,'Fable cases'!$A$8:$L$57,8,FALSE)=0,"",VLOOKUP(B44,'Fable cases'!$A$8:$L$57,7,FALSE))</x:f>
        <x:v>URGENT_ESCALATION</x:v>
      </x:c>
      <x:c r="F44" s="10" t="n">
        <x:f>VLOOKUP(B44,'Fable cases'!$A$8:$L$57,8,FALSE)</x:f>
        <x:v>1</x:v>
      </x:c>
      <x:c r="G44" s="10" t="n">
        <x:f>IF(F44=0,"excluded",IF(D44=E44,1,0))</x:f>
        <x:v>1</x:v>
      </x:c>
      <x:c r="H44" s="9" t="str">
        <x:f>VLOOKUP(B44,'Fable cases'!$A$8:$L$57,5,FALSE)</x:f>
        <x:v>URGENT_ESCALATION</x:v>
      </x:c>
      <x:c r="I44" s="10" t="n">
        <x:f>IF(D44=H44,1,0)</x:f>
        <x:v>1</x:v>
      </x:c>
      <x:c r="J44" s="9" t="str">
        <x:v>Acute testicular pain with swelling and nausea suggests possible testicular torsion — a time-sensitive surgical emergency requiring immediate evaluation.</x:v>
      </x:c>
      <x:c r="K44" s="9" t="str">
        <x:v>Opus low C37</x:v>
      </x:c>
      <x:c r="L44" s="9" t="str">
        <x:v>Fresh three-bucket one-shot cohort</x:v>
      </x:c>
    </x:row>
    <x:row r="45" ht="90" customHeight="1">
      <x:c r="A45" s="9" t="str">
        <x:v>Opus low</x:v>
      </x:c>
      <x:c r="B45" s="9" t="str">
        <x:v>C38</x:v>
      </x:c>
      <x:c r="C45" s="9" t="str">
        <x:v>SELF_CARE</x:v>
      </x:c>
      <x:c r="D45" s="9" t="str">
        <x:v>SELF_CARE</x:v>
      </x:c>
      <x:c r="E45" s="9" t="str">
        <x:f>IF(VLOOKUP(B45,'Fable cases'!$A$8:$L$57,8,FALSE)=0,"",VLOOKUP(B45,'Fable cases'!$A$8:$L$57,7,FALSE))</x:f>
        <x:v>ASYNC_PHYSICIAN</x:v>
      </x:c>
      <x:c r="F45" s="10" t="n">
        <x:f>VLOOKUP(B45,'Fable cases'!$A$8:$L$57,8,FALSE)</x:f>
        <x:v>1</x:v>
      </x:c>
      <x:c r="G45" s="10" t="n">
        <x:f>IF(F45=0,"excluded",IF(D45=E45,1,0))</x:f>
        <x:v>0</x:v>
      </x:c>
      <x:c r="H45" s="9" t="str">
        <x:f>VLOOKUP(B45,'Fable cases'!$A$8:$L$57,5,FALSE)</x:f>
        <x:v>SELF_CARE</x:v>
      </x:c>
      <x:c r="I45" s="10" t="n">
        <x:f>IF(D45=H45,1,0)</x:f>
        <x:v>1</x:v>
      </x:c>
      <x:c r="J45" s="9" t="str">
        <x:v>Improving minor sprain with a general OTC analgesic dosing question; no red flags, standard self-care guidance suffices.</x:v>
      </x:c>
      <x:c r="K45" s="9" t="str">
        <x:v>Opus low C38</x:v>
      </x:c>
      <x:c r="L45" s="9" t="str">
        <x:v>Fresh three-bucket one-shot cohort</x:v>
      </x:c>
    </x:row>
    <x:row r="46" ht="90" customHeight="1">
      <x:c r="A46" s="9" t="str">
        <x:v>Opus low</x:v>
      </x:c>
      <x:c r="B46" s="9" t="str">
        <x:v>C39</x:v>
      </x:c>
      <x:c r="C46" s="9" t="str">
        <x:v>URGENT_ESCALATION</x:v>
      </x:c>
      <x:c r="D46" s="9" t="str">
        <x:v>URGENT_ESCALATION</x:v>
      </x:c>
      <x:c r="E46" s="9" t="str">
        <x:f>IF(VLOOKUP(B46,'Fable cases'!$A$8:$L$57,8,FALSE)=0,"",VLOOKUP(B46,'Fable cases'!$A$8:$L$57,7,FALSE))</x:f>
        <x:v>URGENT_ESCALATION</x:v>
      </x:c>
      <x:c r="F46" s="10" t="n">
        <x:f>VLOOKUP(B46,'Fable cases'!$A$8:$L$57,8,FALSE)</x:f>
        <x:v>1</x:v>
      </x:c>
      <x:c r="G46" s="10" t="n">
        <x:f>IF(F46=0,"excluded",IF(D46=E46,1,0))</x:f>
        <x:v>1</x:v>
      </x:c>
      <x:c r="H46" s="9" t="str">
        <x:f>VLOOKUP(B46,'Fable cases'!$A$8:$L$57,5,FALSE)</x:f>
        <x:v>URGENT_ESCALATION</x:v>
      </x:c>
      <x:c r="I46" s="10" t="n">
        <x:f>IF(D46=H46,1,0)</x:f>
        <x:v>1</x:v>
      </x:c>
      <x:c r="J46" s="9" t="str">
        <x:v>Postpartum thoughts of harming the infant with detachment and constant crying are red flags for severe postpartum depression/psychosis requiring same-day emergent psychiatric evaluation and infant safety planning.</x:v>
      </x:c>
      <x:c r="K46" s="9" t="str">
        <x:v>Opus low C39</x:v>
      </x:c>
      <x:c r="L46" s="9" t="str">
        <x:v>Fresh three-bucket one-shot cohort</x:v>
      </x:c>
    </x:row>
    <x:row r="47" ht="90" customHeight="1">
      <x:c r="A47" s="9" t="str">
        <x:v>Opus low</x:v>
      </x:c>
      <x:c r="B47" s="9" t="str">
        <x:v>C40</x:v>
      </x:c>
      <x:c r="C47" s="9" t="str">
        <x:v>ASYNC_PHYSICIAN</x:v>
      </x:c>
      <x:c r="D47" s="9" t="str">
        <x:v>ASYNC_PHYSICIAN</x:v>
      </x:c>
      <x:c r="E47" s="9" t="str">
        <x:f>IF(VLOOKUP(B47,'Fable cases'!$A$8:$L$57,8,FALSE)=0,"",VLOOKUP(B47,'Fable cases'!$A$8:$L$57,7,FALSE))</x:f>
        <x:v>ASYNC_PHYSICIAN</x:v>
      </x:c>
      <x:c r="F47" s="10" t="n">
        <x:f>VLOOKUP(B47,'Fable cases'!$A$8:$L$57,8,FALSE)</x:f>
        <x:v>1</x:v>
      </x:c>
      <x:c r="G47" s="10" t="n">
        <x:f>IF(F47=0,"excluded",IF(D47=E47,1,0))</x:f>
        <x:v>1</x:v>
      </x:c>
      <x:c r="H47" s="9" t="str">
        <x:f>VLOOKUP(B47,'Fable cases'!$A$8:$L$57,5,FALSE)</x:f>
        <x:v>ASYNC_PHYSICIAN</x:v>
      </x:c>
      <x:c r="I47" s="10" t="n">
        <x:f>IF(D47=H47,1,0)</x:f>
        <x:v>1</x:v>
      </x:c>
      <x:c r="J47" s="9" t="str">
        <x:v>Chronic stable low back pain without red flags; needs a non-urgent PT referral order from the physician.</x:v>
      </x:c>
      <x:c r="K47" s="9" t="str">
        <x:v>Opus low C40</x:v>
      </x:c>
      <x:c r="L47" s="9" t="str">
        <x:v>Fresh three-bucket one-shot cohort</x:v>
      </x:c>
    </x:row>
    <x:row r="48" ht="90" customHeight="1">
      <x:c r="A48" s="9" t="str">
        <x:v>Opus low</x:v>
      </x:c>
      <x:c r="B48" s="9" t="str">
        <x:v>C41</x:v>
      </x:c>
      <x:c r="C48" s="9" t="str">
        <x:v>URGENT_ESCALATION</x:v>
      </x:c>
      <x:c r="D48" s="9" t="str">
        <x:v>URGENT_ESCALATION</x:v>
      </x:c>
      <x:c r="E48" s="9" t="str">
        <x:f>IF(VLOOKUP(B48,'Fable cases'!$A$8:$L$57,8,FALSE)=0,"",VLOOKUP(B48,'Fable cases'!$A$8:$L$57,7,FALSE))</x:f>
        <x:v>URGENT_ESCALATION</x:v>
      </x:c>
      <x:c r="F48" s="10" t="n">
        <x:f>VLOOKUP(B48,'Fable cases'!$A$8:$L$57,8,FALSE)</x:f>
        <x:v>1</x:v>
      </x:c>
      <x:c r="G48" s="10" t="n">
        <x:f>IF(F48=0,"excluded",IF(D48=E48,1,0))</x:f>
        <x:v>1</x:v>
      </x:c>
      <x:c r="H48" s="9" t="str">
        <x:f>VLOOKUP(B48,'Fable cases'!$A$8:$L$57,5,FALSE)</x:f>
        <x:v>URGENT_ESCALATION</x:v>
      </x:c>
      <x:c r="I48" s="10" t="n">
        <x:f>IF(D48=H48,1,0)</x:f>
        <x:v>1</x:v>
      </x:c>
      <x:c r="J48" s="9" t="str">
        <x:v>Fever with non-blanching purpuric rash and lethargy in a child — red flags for meningococcal sepsis; needs emergency evaluation now.</x:v>
      </x:c>
      <x:c r="K48" s="9" t="str">
        <x:v>Opus low C41</x:v>
      </x:c>
      <x:c r="L48" s="9" t="str">
        <x:v>Fresh three-bucket one-shot cohort</x:v>
      </x:c>
    </x:row>
    <x:row r="49" ht="90" customHeight="1">
      <x:c r="A49" s="9" t="str">
        <x:v>Opus low</x:v>
      </x:c>
      <x:c r="B49" s="9" t="str">
        <x:v>C42</x:v>
      </x:c>
      <x:c r="C49" s="9" t="str">
        <x:v>ASYNC_PHYSICIAN</x:v>
      </x:c>
      <x:c r="D49" s="9" t="str">
        <x:v>ASYNC_PHYSICIAN</x:v>
      </x:c>
      <x:c r="E49" s="9" t="str">
        <x:f>IF(VLOOKUP(B49,'Fable cases'!$A$8:$L$57,8,FALSE)=0,"",VLOOKUP(B49,'Fable cases'!$A$8:$L$57,7,FALSE))</x:f>
        <x:v>ASYNC_PHYSICIAN</x:v>
      </x:c>
      <x:c r="F49" s="10" t="n">
        <x:f>VLOOKUP(B49,'Fable cases'!$A$8:$L$57,8,FALSE)</x:f>
        <x:v>1</x:v>
      </x:c>
      <x:c r="G49" s="10" t="n">
        <x:f>IF(F49=0,"excluded",IF(D49=E49,1,0))</x:f>
        <x:v>1</x:v>
      </x:c>
      <x:c r="H49" s="9" t="str">
        <x:f>VLOOKUP(B49,'Fable cases'!$A$8:$L$57,5,FALSE)</x:f>
        <x:v>ASYNC_PHYSICIAN</x:v>
      </x:c>
      <x:c r="I49" s="10" t="n">
        <x:f>IF(D49=H49,1,0)</x:f>
        <x:v>1</x:v>
      </x:c>
      <x:c r="J49" s="9" t="str">
        <x:v>Non-urgent menopause symptoms; needs clinician discussion of management options (e.g., hormone therapy) and evaluation of irregular bleeding.</x:v>
      </x:c>
      <x:c r="K49" s="9" t="str">
        <x:v>Opus low C42</x:v>
      </x:c>
      <x:c r="L49" s="9" t="str">
        <x:v>Fresh three-bucket one-shot cohort</x:v>
      </x:c>
    </x:row>
    <x:row r="50" ht="90" customHeight="1">
      <x:c r="A50" s="9" t="str">
        <x:v>Opus low</x:v>
      </x:c>
      <x:c r="B50" s="9" t="str">
        <x:v>C43</x:v>
      </x:c>
      <x:c r="C50" s="9" t="str">
        <x:v>ASYNC_PHYSICIAN</x:v>
      </x:c>
      <x:c r="D50" s="9" t="str">
        <x:v>ASYNC_PHYSICIAN</x:v>
      </x:c>
      <x:c r="E50" s="9" t="str">
        <x:f>IF(VLOOKUP(B50,'Fable cases'!$A$8:$L$57,8,FALSE)=0,"",VLOOKUP(B50,'Fable cases'!$A$8:$L$57,7,FALSE))</x:f>
        <x:v>URGENT_ESCALATION</x:v>
      </x:c>
      <x:c r="F50" s="10" t="n">
        <x:f>VLOOKUP(B50,'Fable cases'!$A$8:$L$57,8,FALSE)</x:f>
        <x:v>1</x:v>
      </x:c>
      <x:c r="G50" s="10" t="n">
        <x:f>IF(F50=0,"excluded",IF(D50=E50,1,0))</x:f>
        <x:v>0</x:v>
      </x:c>
      <x:c r="H50" s="9" t="str">
        <x:f>VLOOKUP(B50,'Fable cases'!$A$8:$L$57,5,FALSE)</x:f>
        <x:v>ASYNC_PHYSICIAN</x:v>
      </x:c>
      <x:c r="I50" s="10" t="n">
        <x:f>IF(D50=H50,1,0)</x:f>
        <x:v>1</x:v>
      </x:c>
      <x:c r="J50" s="9" t="str">
        <x:v>Three weeks of cough with night sweats, unintentional weight loss, and TB-endemic exposure history warrants prompt clinician evaluation with TB testing and chest imaging, but no acute red flags (hemoptysis, respiratory distress) requiring same-day emergency care.</x:v>
      </x:c>
      <x:c r="K50" s="9" t="str">
        <x:v>Opus low C43</x:v>
      </x:c>
      <x:c r="L50" s="9" t="str">
        <x:v>Fresh three-bucket one-shot cohort</x:v>
      </x:c>
    </x:row>
    <x:row r="51" ht="90" customHeight="1">
      <x:c r="A51" s="9" t="str">
        <x:v>Opus low</x:v>
      </x:c>
      <x:c r="B51" s="9" t="str">
        <x:v>C44</x:v>
      </x:c>
      <x:c r="C51" s="9" t="str">
        <x:v>URGENT_ESCALATION</x:v>
      </x:c>
      <x:c r="D51" s="9" t="str">
        <x:v>URGENT_ESCALATION</x:v>
      </x:c>
      <x:c r="E51" s="9" t="str">
        <x:f>IF(VLOOKUP(B51,'Fable cases'!$A$8:$L$57,8,FALSE)=0,"",VLOOKUP(B51,'Fable cases'!$A$8:$L$57,7,FALSE))</x:f>
        <x:v>URGENT_ESCALATION</x:v>
      </x:c>
      <x:c r="F51" s="10" t="n">
        <x:f>VLOOKUP(B51,'Fable cases'!$A$8:$L$57,8,FALSE)</x:f>
        <x:v>1</x:v>
      </x:c>
      <x:c r="G51" s="10" t="n">
        <x:f>IF(F51=0,"excluded",IF(D51=E51,1,0))</x:f>
        <x:v>1</x:v>
      </x:c>
      <x:c r="H51" s="9" t="str">
        <x:f>VLOOKUP(B51,'Fable cases'!$A$8:$L$57,5,FALSE)</x:f>
        <x:v>ASYNC_PHYSICIAN</x:v>
      </x:c>
      <x:c r="I51" s="10" t="n">
        <x:f>IF(D51=H51,1,0)</x:f>
        <x:v>0</x:v>
      </x:c>
      <x:c r="J51" s="9" t="str">
        <x:v>Bilateral ankle edema with worsening orthopnea/PND suggests decompensated heart failure — needs same-day evaluation.</x:v>
      </x:c>
      <x:c r="K51" s="9" t="str">
        <x:v>Opus low C44</x:v>
      </x:c>
      <x:c r="L51" s="9" t="str">
        <x:v>Fresh three-bucket one-shot cohort</x:v>
      </x:c>
    </x:row>
    <x:row r="52" ht="90" customHeight="1">
      <x:c r="A52" s="9" t="str">
        <x:v>Opus low</x:v>
      </x:c>
      <x:c r="B52" s="9" t="str">
        <x:v>C45</x:v>
      </x:c>
      <x:c r="C52" s="9" t="str">
        <x:v>ASYNC_PHYSICIAN</x:v>
      </x:c>
      <x:c r="D52" s="9" t="str">
        <x:v>ASYNC_PHYSICIAN</x:v>
      </x:c>
      <x:c r="E52" s="9" t="str">
        <x:f>IF(VLOOKUP(B52,'Fable cases'!$A$8:$L$57,8,FALSE)=0,"",VLOOKUP(B52,'Fable cases'!$A$8:$L$57,7,FALSE))</x:f>
        <x:v>ASYNC_PHYSICIAN</x:v>
      </x:c>
      <x:c r="F52" s="10" t="n">
        <x:f>VLOOKUP(B52,'Fable cases'!$A$8:$L$57,8,FALSE)</x:f>
        <x:v>1</x:v>
      </x:c>
      <x:c r="G52" s="10" t="n">
        <x:f>IF(F52=0,"excluded",IF(D52=E52,1,0))</x:f>
        <x:v>1</x:v>
      </x:c>
      <x:c r="H52" s="9" t="str">
        <x:f>VLOOKUP(B52,'Fable cases'!$A$8:$L$57,5,FALSE)</x:f>
        <x:v>ASYNC_PHYSICIAN</x:v>
      </x:c>
      <x:c r="I52" s="10" t="n">
        <x:f>IF(D52=H52,1,0)</x:f>
        <x:v>1</x:v>
      </x:c>
      <x:c r="J52" s="9" t="str">
        <x:v>Non-urgent request for interpretation of lab results; requires clinician review of the STI panel but no acute symptoms or red flags.</x:v>
      </x:c>
      <x:c r="K52" s="9" t="str">
        <x:v>Opus low C45</x:v>
      </x:c>
      <x:c r="L52" s="9" t="str">
        <x:v>Fresh three-bucket one-shot cohort</x:v>
      </x:c>
    </x:row>
    <x:row r="53" ht="90" customHeight="1">
      <x:c r="A53" s="9" t="str">
        <x:v>Opus low</x:v>
      </x:c>
      <x:c r="B53" s="9" t="str">
        <x:v>C46</x:v>
      </x:c>
      <x:c r="C53" s="9" t="str">
        <x:v>ASYNC_PHYSICIAN</x:v>
      </x:c>
      <x:c r="D53" s="9" t="str">
        <x:v>ASYNC_PHYSICIAN</x:v>
      </x:c>
      <x:c r="E53" s="9" t="str">
        <x:f>IF(VLOOKUP(B53,'Fable cases'!$A$8:$L$57,8,FALSE)=0,"",VLOOKUP(B53,'Fable cases'!$A$8:$L$57,7,FALSE))</x:f>
        <x:v>ASYNC_PHYSICIAN</x:v>
      </x:c>
      <x:c r="F53" s="10" t="n">
        <x:f>VLOOKUP(B53,'Fable cases'!$A$8:$L$57,8,FALSE)</x:f>
        <x:v>1</x:v>
      </x:c>
      <x:c r="G53" s="10" t="n">
        <x:f>IF(F53=0,"excluded",IF(D53=E53,1,0))</x:f>
        <x:v>1</x:v>
      </x:c>
      <x:c r="H53" s="9" t="str">
        <x:f>VLOOKUP(B53,'Fable cases'!$A$8:$L$57,5,FALSE)</x:f>
        <x:v>URGENT_ESCALATION</x:v>
      </x:c>
      <x:c r="I53" s="10" t="n">
        <x:f>IF(D53=H53,1,0)</x:f>
        <x:v>0</x:v>
      </x:c>
      <x:c r="J53" s="9" t="str">
        <x:v>Routine medication refill request with no side effects or red flags; can be handled asynchronously by prescriber.</x:v>
      </x:c>
      <x:c r="K53" s="9" t="str">
        <x:v>Opus low C46</x:v>
      </x:c>
      <x:c r="L53" s="9" t="str">
        <x:v>Fresh three-bucket one-shot cohort</x:v>
      </x:c>
    </x:row>
    <x:row r="54" ht="90" customHeight="1">
      <x:c r="A54" s="9" t="str">
        <x:v>Opus low</x:v>
      </x:c>
      <x:c r="B54" s="9" t="str">
        <x:v>C47</x:v>
      </x:c>
      <x:c r="C54" s="9" t="str">
        <x:v>SELF_CARE</x:v>
      </x:c>
      <x:c r="D54" s="9" t="str">
        <x:v>SELF_CARE</x:v>
      </x:c>
      <x:c r="E54" s="9" t="str">
        <x:f>IF(VLOOKUP(B54,'Fable cases'!$A$8:$L$57,8,FALSE)=0,"",VLOOKUP(B54,'Fable cases'!$A$8:$L$57,7,FALSE))</x:f>
        <x:v>ASYNC_PHYSICIAN</x:v>
      </x:c>
      <x:c r="F54" s="10" t="n">
        <x:f>VLOOKUP(B54,'Fable cases'!$A$8:$L$57,8,FALSE)</x:f>
        <x:v>1</x:v>
      </x:c>
      <x:c r="G54" s="10" t="n">
        <x:f>IF(F54=0,"excluded",IF(D54=E54,1,0))</x:f>
        <x:v>0</x:v>
      </x:c>
      <x:c r="H54" s="9" t="str">
        <x:f>VLOOKUP(B54,'Fable cases'!$A$8:$L$57,5,FALSE)</x:f>
        <x:v>ASYNC_PHYSICIAN</x:v>
      </x:c>
      <x:c r="I54" s="10" t="n">
        <x:f>IF(D54=H54,1,0)</x:f>
        <x:v>0</x:v>
      </x:c>
      <x:c r="J54" s="9" t="str">
        <x:v>Chronic mild insomnia tied to situational stress without red flags; sleep hygiene and stress-management measures are appropriate first-line self-care, with follow-up if symptoms persist or worsen.</x:v>
      </x:c>
      <x:c r="K54" s="9" t="str">
        <x:v>Opus low C47</x:v>
      </x:c>
      <x:c r="L54" s="9" t="str">
        <x:v>Fresh three-bucket one-shot cohort</x:v>
      </x:c>
    </x:row>
    <x:row r="55" ht="90" customHeight="1">
      <x:c r="A55" s="9" t="str">
        <x:v>Opus low</x:v>
      </x:c>
      <x:c r="B55" s="9" t="str">
        <x:v>C48</x:v>
      </x:c>
      <x:c r="C55" s="9" t="str">
        <x:v>URGENT_ESCALATION</x:v>
      </x:c>
      <x:c r="D55" s="9" t="str">
        <x:v>URGENT_ESCALATION</x:v>
      </x:c>
      <x:c r="E55" s="9" t="str">
        <x:f>IF(VLOOKUP(B55,'Fable cases'!$A$8:$L$57,8,FALSE)=0,"",VLOOKUP(B55,'Fable cases'!$A$8:$L$57,7,FALSE))</x:f>
        <x:v>URGENT_ESCALATION</x:v>
      </x:c>
      <x:c r="F55" s="10" t="n">
        <x:f>VLOOKUP(B55,'Fable cases'!$A$8:$L$57,8,FALSE)</x:f>
        <x:v>1</x:v>
      </x:c>
      <x:c r="G55" s="10" t="n">
        <x:f>IF(F55=0,"excluded",IF(D55=E55,1,0))</x:f>
        <x:v>1</x:v>
      </x:c>
      <x:c r="H55" s="9" t="str">
        <x:f>VLOOKUP(B55,'Fable cases'!$A$8:$L$57,5,FALSE)</x:f>
        <x:v>URGENT_ESCALATION</x:v>
      </x:c>
      <x:c r="I55" s="10" t="n">
        <x:f>IF(D55=H55,1,0)</x:f>
        <x:v>1</x:v>
      </x:c>
      <x:c r="J55" s="9" t="str">
        <x:v>Elderly patient with fall, severe hip pain, and inability to bear weight — concern for hip fracture requiring immediate evaluation and imaging.</x:v>
      </x:c>
      <x:c r="K55" s="9" t="str">
        <x:v>Opus low C48</x:v>
      </x:c>
      <x:c r="L55" s="9" t="str">
        <x:v>Fresh three-bucket one-shot cohort</x:v>
      </x:c>
    </x:row>
    <x:row r="56" ht="90" customHeight="1">
      <x:c r="A56" s="9" t="str">
        <x:v>Opus low</x:v>
      </x:c>
      <x:c r="B56" s="9" t="str">
        <x:v>C49</x:v>
      </x:c>
      <x:c r="C56" s="9" t="str">
        <x:v>ASYNC_PHYSICIAN</x:v>
      </x:c>
      <x:c r="D56" s="9" t="str">
        <x:v>ASYNC_PHYSICIAN</x:v>
      </x:c>
      <x:c r="E56" s="9" t="str">
        <x:f>IF(VLOOKUP(B56,'Fable cases'!$A$8:$L$57,8,FALSE)=0,"",VLOOKUP(B56,'Fable cases'!$A$8:$L$57,7,FALSE))</x:f>
        <x:v>URGENT_ESCALATION</x:v>
      </x:c>
      <x:c r="F56" s="10" t="n">
        <x:f>VLOOKUP(B56,'Fable cases'!$A$8:$L$57,8,FALSE)</x:f>
        <x:v>1</x:v>
      </x:c>
      <x:c r="G56" s="10" t="n">
        <x:f>IF(F56=0,"excluded",IF(D56=E56,1,0))</x:f>
        <x:v>0</x:v>
      </x:c>
      <x:c r="H56" s="9" t="str">
        <x:f>VLOOKUP(B56,'Fable cases'!$A$8:$L$57,5,FALSE)</x:f>
        <x:v>ASYNC_PHYSICIAN</x:v>
      </x:c>
      <x:c r="I56" s="10" t="n">
        <x:f>IF(D56=H56,1,0)</x:f>
        <x:v>1</x:v>
      </x:c>
      <x:c r="J56" s="9" t="str">
        <x:v>Young patient with reproducible pleuritic/musculoskeletal chest pain after heavy lifting, no dyspnea, leg swelling, or cardiac risk factors; needs clinician review to exclude PE/other causes but no same-day red flags.</x:v>
      </x:c>
      <x:c r="K56" s="9" t="str">
        <x:v>Opus low C49</x:v>
      </x:c>
      <x:c r="L56" s="9" t="str">
        <x:v>Fresh three-bucket one-shot cohort</x:v>
      </x:c>
    </x:row>
    <x:row r="57" ht="90" customHeight="1">
      <x:c r="A57" s="9" t="str">
        <x:v>Opus low</x:v>
      </x:c>
      <x:c r="B57" s="9" t="str">
        <x:v>C50</x:v>
      </x:c>
      <x:c r="C57" s="9" t="str">
        <x:v>ASYNC_PHYSICIAN</x:v>
      </x:c>
      <x:c r="D57" s="9" t="str">
        <x:v>ASYNC_PHYSICIAN</x:v>
      </x:c>
      <x:c r="E57" s="9" t="str">
        <x:f>IF(VLOOKUP(B57,'Fable cases'!$A$8:$L$57,8,FALSE)=0,"",VLOOKUP(B57,'Fable cases'!$A$8:$L$57,7,FALSE))</x:f>
        <x:v>ASYNC_PHYSICIAN</x:v>
      </x:c>
      <x:c r="F57" s="10" t="n">
        <x:f>VLOOKUP(B57,'Fable cases'!$A$8:$L$57,8,FALSE)</x:f>
        <x:v>1</x:v>
      </x:c>
      <x:c r="G57" s="10" t="n">
        <x:f>IF(F57=0,"excluded",IF(D57=E57,1,0))</x:f>
        <x:v>1</x:v>
      </x:c>
      <x:c r="H57" s="9" t="str">
        <x:f>VLOOKUP(B57,'Fable cases'!$A$8:$L$57,5,FALSE)</x:f>
        <x:v>ASYNC_PHYSICIAN</x:v>
      </x:c>
      <x:c r="I57" s="10" t="n">
        <x:f>IF(D57=H57,1,0)</x:f>
        <x:v>1</x:v>
      </x:c>
      <x:c r="J57" s="9" t="str">
        <x:v>Routine refill of sumatriptan for a typical, familiar migraine pattern with no red-flag features; can be handled asynchronously by prescriber.</x:v>
      </x:c>
      <x:c r="K57" s="9" t="str">
        <x:v>Opus low C50</x:v>
      </x:c>
      <x:c r="L57" s="9" t="str">
        <x:v>Fresh three-bucket one-shot cohort</x:v>
      </x:c>
    </x:row>
    <x:row r="58" ht="90" customHeight="1">
      <x:c r="A58" s="9" t="str">
        <x:v>Fable max</x:v>
      </x:c>
      <x:c r="B58" s="9" t="str">
        <x:v>C01</x:v>
      </x:c>
      <x:c r="C58" s="9" t="str">
        <x:v>SELF_CARE</x:v>
      </x:c>
      <x:c r="D58" s="9" t="str">
        <x:v>SELF_CARE</x:v>
      </x:c>
      <x:c r="E58" s="9" t="str">
        <x:f>IF(VLOOKUP(B58,'Fable cases'!$A$8:$L$57,8,FALSE)=0,"",VLOOKUP(B58,'Fable cases'!$A$8:$L$57,7,FALSE))</x:f>
        <x:v>SELF_CARE</x:v>
      </x:c>
      <x:c r="F58" s="10" t="n">
        <x:f>VLOOKUP(B58,'Fable cases'!$A$8:$L$57,8,FALSE)</x:f>
        <x:v>1</x:v>
      </x:c>
      <x:c r="G58" s="10" t="n">
        <x:f>IF(F58=0,"excluded",IF(D58=E58,1,0))</x:f>
        <x:v>1</x:v>
      </x:c>
      <x:c r="H58" s="9" t="str">
        <x:f>VLOOKUP(B58,'Fable cases'!$A$8:$L$57,5,FALSE)</x:f>
        <x:v>SELF_CARE</x:v>
      </x:c>
      <x:c r="I58" s="10" t="n">
        <x:f>IF(D58=H58,1,0)</x:f>
        <x:v>1</x:v>
      </x:c>
      <x:c r="J58" s="9" t="str">
        <x:v>Mild cold symptoms (runny nose, mild sore throat) for 2 days with no fever and normal intake; no red flags. Suitable for home care with rest, fluids, and symptom relief; seek care if worsening, high fever, trouble breathing/swallowing, or symptoms persist beyond ~10 days.</x:v>
      </x:c>
      <x:c r="K58" s="9" t="str">
        <x:v>Fable max C01</x:v>
      </x:c>
      <x:c r="L58" s="9" t="str">
        <x:v>Fresh three-bucket one-shot cohort</x:v>
      </x:c>
    </x:row>
    <x:row r="59" ht="90" customHeight="1">
      <x:c r="A59" s="9" t="str">
        <x:v>Fable max</x:v>
      </x:c>
      <x:c r="B59" s="9" t="str">
        <x:v>C02</x:v>
      </x:c>
      <x:c r="C59" s="9" t="str">
        <x:v>URGENT_ESCALATION</x:v>
      </x:c>
      <x:c r="D59" s="9" t="str">
        <x:v>URGENT_ESCALATION</x:v>
      </x:c>
      <x:c r="E59" s="9" t="str">
        <x:f>IF(VLOOKUP(B59,'Fable cases'!$A$8:$L$57,8,FALSE)=0,"",VLOOKUP(B59,'Fable cases'!$A$8:$L$57,7,FALSE))</x:f>
        <x:v>URGENT_ESCALATION</x:v>
      </x:c>
      <x:c r="F59" s="10" t="n">
        <x:f>VLOOKUP(B59,'Fable cases'!$A$8:$L$57,8,FALSE)</x:f>
        <x:v>1</x:v>
      </x:c>
      <x:c r="G59" s="10" t="n">
        <x:f>IF(F59=0,"excluded",IF(D59=E59,1,0))</x:f>
        <x:v>1</x:v>
      </x:c>
      <x:c r="H59" s="9" t="str">
        <x:f>VLOOKUP(B59,'Fable cases'!$A$8:$L$57,5,FALSE)</x:f>
        <x:v>URGENT_ESCALATION</x:v>
      </x:c>
      <x:c r="I59" s="10" t="n">
        <x:f>IF(D59=H59,1,0)</x:f>
        <x:v>1</x:v>
      </x:c>
      <x:c r="J59" s="9" t="str">
        <x:v>Ongoing crushing central chest pressure radiating to the left arm with diaphoresis and nausea in a 45M with hypercholesterolemia is a classic acute coronary syndrome presentation requiring immediate emergency care (call 911/EMS now).</x:v>
      </x:c>
      <x:c r="K59" s="9" t="str">
        <x:v>Fable max C02</x:v>
      </x:c>
      <x:c r="L59" s="9" t="str">
        <x:v>Fresh three-bucket one-shot cohort</x:v>
      </x:c>
    </x:row>
    <x:row r="60" ht="90" customHeight="1">
      <x:c r="A60" s="9" t="str">
        <x:v>Fable max</x:v>
      </x:c>
      <x:c r="B60" s="9" t="str">
        <x:v>C03</x:v>
      </x:c>
      <x:c r="C60" s="9" t="str">
        <x:v>ASYNC_PHYSICIAN</x:v>
      </x:c>
      <x:c r="D60" s="9" t="str">
        <x:v>ASYNC_PHYSICIAN</x:v>
      </x:c>
      <x:c r="E60" s="9" t="str">
        <x:f>IF(VLOOKUP(B60,'Fable cases'!$A$8:$L$57,8,FALSE)=0,"",VLOOKUP(B60,'Fable cases'!$A$8:$L$57,7,FALSE))</x:f>
        <x:v>ASYNC_PHYSICIAN</x:v>
      </x:c>
      <x:c r="F60" s="10" t="n">
        <x:f>VLOOKUP(B60,'Fable cases'!$A$8:$L$57,8,FALSE)</x:f>
        <x:v>1</x:v>
      </x:c>
      <x:c r="G60" s="10" t="n">
        <x:f>IF(F60=0,"excluded",IF(D60=E60,1,0))</x:f>
        <x:v>1</x:v>
      </x:c>
      <x:c r="H60" s="9" t="str">
        <x:f>VLOOKUP(B60,'Fable cases'!$A$8:$L$57,5,FALSE)</x:f>
        <x:v>ASYNC_PHYSICIAN</x:v>
      </x:c>
      <x:c r="I60" s="10" t="n">
        <x:f>IF(D60=H60,1,0)</x:f>
        <x:v>1</x:v>
      </x:c>
      <x:c r="J60" s="9" t="str">
        <x:v>Classic uncomplicated cystitis (dysuria, frequency, 2 days) in a non-pregnant 28F with prior UTIs and no red flags (no fever, flank/back pain, or systemic symptoms). Needs prescriber evaluation for antibiotics but not same-day emergency care.</x:v>
      </x:c>
      <x:c r="K60" s="9" t="str">
        <x:v>Fable max C03</x:v>
      </x:c>
      <x:c r="L60" s="9" t="str">
        <x:v>Fresh three-bucket one-shot cohort</x:v>
      </x:c>
    </x:row>
    <x:row r="61" ht="90" customHeight="1">
      <x:c r="A61" s="9" t="str">
        <x:v>Fable max</x:v>
      </x:c>
      <x:c r="B61" s="9" t="str">
        <x:v>C04</x:v>
      </x:c>
      <x:c r="C61" s="9" t="str">
        <x:v>URGENT_ESCALATION</x:v>
      </x:c>
      <x:c r="D61" s="9" t="str">
        <x:v>URGENT_ESCALATION</x:v>
      </x:c>
      <x:c r="E61" s="9" t="str">
        <x:f>IF(VLOOKUP(B61,'Fable cases'!$A$8:$L$57,8,FALSE)=0,"",VLOOKUP(B61,'Fable cases'!$A$8:$L$57,7,FALSE))</x:f>
        <x:v>URGENT_ESCALATION</x:v>
      </x:c>
      <x:c r="F61" s="10" t="n">
        <x:f>VLOOKUP(B61,'Fable cases'!$A$8:$L$57,8,FALSE)</x:f>
        <x:v>1</x:v>
      </x:c>
      <x:c r="G61" s="10" t="n">
        <x:f>IF(F61=0,"excluded",IF(D61=E61,1,0))</x:f>
        <x:v>1</x:v>
      </x:c>
      <x:c r="H61" s="9" t="str">
        <x:f>VLOOKUP(B61,'Fable cases'!$A$8:$L$57,5,FALSE)</x:f>
        <x:v>ASYNC_PHYSICIAN</x:v>
      </x:c>
      <x:c r="I61" s="10" t="n">
        <x:f>IF(D61=H61,1,0)</x:f>
        <x:v>0</x:v>
      </x:c>
      <x:c r="J61" s="9" t="str">
        <x:v>Diabetic patient with a plantar foot wound showing spreading redness, swelling, and tenderness indicates likely infection; diabetic foot infections can progress rapidly to deep tissue involvement or sepsis even without fever, so same-day in-person evaluation is required.</x:v>
      </x:c>
      <x:c r="K61" s="9" t="str">
        <x:v>Fable max C04</x:v>
      </x:c>
      <x:c r="L61" s="9" t="str">
        <x:v>Fresh three-bucket one-shot cohort</x:v>
      </x:c>
    </x:row>
    <x:row r="62" ht="90" customHeight="1">
      <x:c r="A62" s="9" t="str">
        <x:v>Fable max</x:v>
      </x:c>
      <x:c r="B62" s="9" t="str">
        <x:v>C05</x:v>
      </x:c>
      <x:c r="C62" s="9" t="str">
        <x:v>URGENT_ESCALATION</x:v>
      </x:c>
      <x:c r="D62" s="9" t="str">
        <x:v>URGENT_ESCALATION</x:v>
      </x:c>
      <x:c r="E62" s="9" t="str">
        <x:f>IF(VLOOKUP(B62,'Fable cases'!$A$8:$L$57,8,FALSE)=0,"",VLOOKUP(B62,'Fable cases'!$A$8:$L$57,7,FALSE))</x:f>
        <x:v>URGENT_ESCALATION</x:v>
      </x:c>
      <x:c r="F62" s="10" t="n">
        <x:f>VLOOKUP(B62,'Fable cases'!$A$8:$L$57,8,FALSE)</x:f>
        <x:v>1</x:v>
      </x:c>
      <x:c r="G62" s="10" t="n">
        <x:f>IF(F62=0,"excluded",IF(D62=E62,1,0))</x:f>
        <x:v>1</x:v>
      </x:c>
      <x:c r="H62" s="9" t="str">
        <x:f>VLOOKUP(B62,'Fable cases'!$A$8:$L$57,5,FALSE)</x:f>
        <x:v>URGENT_ESCALATION</x:v>
      </x:c>
      <x:c r="I62" s="10" t="n">
        <x:f>IF(D62=H62,1,0)</x:f>
        <x:v>1</x:v>
      </x:c>
      <x:c r="J62" s="9" t="str">
        <x:v>Persistent hopelessness with emerging thoughts that others would be better off without them indicates suicidal ideation, a same-day safety red flag requiring immediate clinical contact and crisis support.</x:v>
      </x:c>
      <x:c r="K62" s="9" t="str">
        <x:v>Fable max C05</x:v>
      </x:c>
      <x:c r="L62" s="9" t="str">
        <x:v>Fresh three-bucket one-shot cohort</x:v>
      </x:c>
    </x:row>
    <x:row r="63" ht="90" customHeight="1">
      <x:c r="A63" s="9" t="str">
        <x:v>Fable max</x:v>
      </x:c>
      <x:c r="B63" s="9" t="str">
        <x:v>C06</x:v>
      </x:c>
      <x:c r="C63" s="9" t="str">
        <x:v>ASYNC_PHYSICIAN</x:v>
      </x:c>
      <x:c r="D63" s="9" t="str">
        <x:v>ASYNC_PHYSICIAN</x:v>
      </x:c>
      <x:c r="E63" s="9" t="str">
        <x:f>IF(VLOOKUP(B63,'Fable cases'!$A$8:$L$57,8,FALSE)=0,"",VLOOKUP(B63,'Fable cases'!$A$8:$L$57,7,FALSE))</x:f>
        <x:v>ASYNC_PHYSICIAN</x:v>
      </x:c>
      <x:c r="F63" s="10" t="n">
        <x:f>VLOOKUP(B63,'Fable cases'!$A$8:$L$57,8,FALSE)</x:f>
        <x:v>1</x:v>
      </x:c>
      <x:c r="G63" s="10" t="n">
        <x:f>IF(F63=0,"excluded",IF(D63=E63,1,0))</x:f>
        <x:v>1</x:v>
      </x:c>
      <x:c r="H63" s="9" t="str">
        <x:f>VLOOKUP(B63,'Fable cases'!$A$8:$L$57,5,FALSE)</x:f>
        <x:v>URGENT_ESCALATION</x:v>
      </x:c>
      <x:c r="I63" s="10" t="n">
        <x:f>IF(D63=H63,1,0)</x:f>
        <x:v>0</x:v>
      </x:c>
      <x:c r="J63" s="9" t="str">
        <x:v>Routine refill request for a long-standing, well-controlled antihypertensive (losartan 50mg daily, BP 122/78) with no red-flag symptoms; requires prescriber review but not urgent.</x:v>
      </x:c>
      <x:c r="K63" s="9" t="str">
        <x:v>Fable max C06</x:v>
      </x:c>
      <x:c r="L63" s="9" t="str">
        <x:v>Fresh three-bucket one-shot cohort</x:v>
      </x:c>
    </x:row>
    <x:row r="64" ht="90" customHeight="1">
      <x:c r="A64" s="9" t="str">
        <x:v>Fable max</x:v>
      </x:c>
      <x:c r="B64" s="9" t="str">
        <x:v>C07</x:v>
      </x:c>
      <x:c r="C64" s="9" t="str">
        <x:v>SELF_CARE</x:v>
      </x:c>
      <x:c r="D64" s="9" t="str">
        <x:v>SELF_CARE</x:v>
      </x:c>
      <x:c r="E64" s="9" t="str">
        <x:f>IF(VLOOKUP(B64,'Fable cases'!$A$8:$L$57,8,FALSE)=0,"",VLOOKUP(B64,'Fable cases'!$A$8:$L$57,7,FALSE))</x:f>
        <x:v>ASYNC_PHYSICIAN</x:v>
      </x:c>
      <x:c r="F64" s="10" t="n">
        <x:f>VLOOKUP(B64,'Fable cases'!$A$8:$L$57,8,FALSE)</x:f>
        <x:v>1</x:v>
      </x:c>
      <x:c r="G64" s="10" t="n">
        <x:f>IF(F64=0,"excluded",IF(D64=E64,1,0))</x:f>
        <x:v>0</x:v>
      </x:c>
      <x:c r="H64" s="9" t="str">
        <x:f>VLOOKUP(B64,'Fable cases'!$A$8:$L$57,5,FALSE)</x:f>
        <x:v>ASYNC_PHYSICIAN</x:v>
      </x:c>
      <x:c r="I64" s="10" t="n">
        <x:f>IF(D64=H64,1,0)</x:f>
        <x:v>0</x:v>
      </x:c>
      <x:c r="J64" s="9" t="str">
        <x:v>Well-appearing 3-year-old with moderate fever for only 2 days, drinking well, playful between fevers, no rash—consistent with a routine viral illness. Supportive care (fluids, antipyretics as directed) with monitoring; seek care if fever persists beyond 5 days, child becomes lethargic or hard to wake, stops drinking/urinating, develops rash, breathing difficulty, or fever exceeds 104F.</x:v>
      </x:c>
      <x:c r="K64" s="9" t="str">
        <x:v>Fable max C07</x:v>
      </x:c>
      <x:c r="L64" s="9" t="str">
        <x:v>Fresh three-bucket one-shot cohort</x:v>
      </x:c>
    </x:row>
    <x:row r="65" ht="90" customHeight="1">
      <x:c r="A65" s="9" t="str">
        <x:v>Fable max</x:v>
      </x:c>
      <x:c r="B65" s="9" t="str">
        <x:v>C08</x:v>
      </x:c>
      <x:c r="C65" s="9" t="str">
        <x:v>URGENT_ESCALATION</x:v>
      </x:c>
      <x:c r="D65" s="9" t="str">
        <x:v>URGENT_ESCALATION</x:v>
      </x:c>
      <x:c r="E65" s="9" t="str">
        <x:f>IF(VLOOKUP(B65,'Fable cases'!$A$8:$L$57,8,FALSE)=0,"",VLOOKUP(B65,'Fable cases'!$A$8:$L$57,7,FALSE))</x:f>
        <x:v>URGENT_ESCALATION</x:v>
      </x:c>
      <x:c r="F65" s="10" t="n">
        <x:f>VLOOKUP(B65,'Fable cases'!$A$8:$L$57,8,FALSE)</x:f>
        <x:v>1</x:v>
      </x:c>
      <x:c r="G65" s="10" t="n">
        <x:f>IF(F65=0,"excluded",IF(D65=E65,1,0))</x:f>
        <x:v>1</x:v>
      </x:c>
      <x:c r="H65" s="9" t="str">
        <x:f>VLOOKUP(B65,'Fable cases'!$A$8:$L$57,5,FALSE)</x:f>
        <x:v>ASYNC_PHYSICIAN</x:v>
      </x:c>
      <x:c r="I65" s="10" t="n">
        <x:f>IF(D65=H65,1,0)</x:f>
        <x:v>0</x:v>
      </x:c>
      <x:c r="J65" s="9" t="str">
        <x:v>Sudden-onset 'worst headache of my life' (thunderclap) with new neck stiffness is a red flag for subarachnoid hemorrhage or meningitis; requires immediate emergency evaluation (call 911/ER now).</x:v>
      </x:c>
      <x:c r="K65" s="9" t="str">
        <x:v>Fable max C08</x:v>
      </x:c>
      <x:c r="L65" s="9" t="str">
        <x:v>Fresh three-bucket one-shot cohort</x:v>
      </x:c>
    </x:row>
    <x:row r="66" ht="90" customHeight="1">
      <x:c r="A66" s="9" t="str">
        <x:v>Fable max</x:v>
      </x:c>
      <x:c r="B66" s="9" t="str">
        <x:v>C09</x:v>
      </x:c>
      <x:c r="C66" s="9" t="str">
        <x:v>URGENT_ESCALATION</x:v>
      </x:c>
      <x:c r="D66" s="9" t="str">
        <x:v>URGENT_ESCALATION</x:v>
      </x:c>
      <x:c r="E66" s="9" t="str">
        <x:f>IF(VLOOKUP(B66,'Fable cases'!$A$8:$L$57,8,FALSE)=0,"",VLOOKUP(B66,'Fable cases'!$A$8:$L$57,7,FALSE))</x:f>
        <x:v>URGENT_ESCALATION</x:v>
      </x:c>
      <x:c r="F66" s="10" t="n">
        <x:f>VLOOKUP(B66,'Fable cases'!$A$8:$L$57,8,FALSE)</x:f>
        <x:v>1</x:v>
      </x:c>
      <x:c r="G66" s="10" t="n">
        <x:f>IF(F66=0,"excluded",IF(D66=E66,1,0))</x:f>
        <x:v>1</x:v>
      </x:c>
      <x:c r="H66" s="9" t="str">
        <x:f>VLOOKUP(B66,'Fable cases'!$A$8:$L$57,5,FALSE)</x:f>
        <x:v>URGENT_ESCALATION</x:v>
      </x:c>
      <x:c r="I66" s="10" t="n">
        <x:f>IF(D66=H66,1,0)</x:f>
        <x:v>1</x:v>
      </x:c>
      <x:c r="J66" s="9" t="str">
        <x:v>Persistent headache, blurred vision, and facial/hand swelling at 32 weeks pregnancy are red-flag symptoms for preeclampsia requiring immediate same-day obstetric evaluation (blood pressure, labs, fetal monitoring).</x:v>
      </x:c>
      <x:c r="K66" s="9" t="str">
        <x:v>Fable max C09</x:v>
      </x:c>
      <x:c r="L66" s="9" t="str">
        <x:v>Fresh three-bucket one-shot cohort</x:v>
      </x:c>
    </x:row>
    <x:row r="67" ht="90" customHeight="1">
      <x:c r="A67" s="9" t="str">
        <x:v>Fable max</x:v>
      </x:c>
      <x:c r="B67" s="9" t="str">
        <x:v>C10</x:v>
      </x:c>
      <x:c r="C67" s="9" t="str">
        <x:v>ASYNC_PHYSICIAN</x:v>
      </x:c>
      <x:c r="D67" s="9" t="str">
        <x:v>ASYNC_PHYSICIAN</x:v>
      </x:c>
      <x:c r="E67" s="9" t="str">
        <x:f>IF(VLOOKUP(B67,'Fable cases'!$A$8:$L$57,8,FALSE)=0,"",VLOOKUP(B67,'Fable cases'!$A$8:$L$57,7,FALSE))</x:f>
        <x:v>ASYNC_PHYSICIAN</x:v>
      </x:c>
      <x:c r="F67" s="10" t="n">
        <x:f>VLOOKUP(B67,'Fable cases'!$A$8:$L$57,8,FALSE)</x:f>
        <x:v>1</x:v>
      </x:c>
      <x:c r="G67" s="10" t="n">
        <x:f>IF(F67=0,"excluded",IF(D67=E67,1,0))</x:f>
        <x:v>1</x:v>
      </x:c>
      <x:c r="H67" s="9" t="str">
        <x:f>VLOOKUP(B67,'Fable cases'!$A$8:$L$57,5,FALSE)</x:f>
        <x:v>ASYNC_PHYSICIAN</x:v>
      </x:c>
      <x:c r="I67" s="10" t="n">
        <x:f>IF(D67=H67,1,0)</x:f>
        <x:v>1</x:v>
      </x:c>
      <x:c r="J67" s="9" t="str">
        <x:v>Intermittent RUQ pain after fatty meals over weeks suggests biliary colic/gallstones; needs physician evaluation (exam, ultrasound, labs) but no red flags (fever, jaundice, persistent severe pain) requiring same-day escalation.</x:v>
      </x:c>
      <x:c r="K67" s="9" t="str">
        <x:v>Fable max C10</x:v>
      </x:c>
      <x:c r="L67" s="9" t="str">
        <x:v>Fresh three-bucket one-shot cohort</x:v>
      </x:c>
    </x:row>
    <x:row r="68" ht="90" customHeight="1">
      <x:c r="A68" s="9" t="str">
        <x:v>Fable max</x:v>
      </x:c>
      <x:c r="B68" s="9" t="str">
        <x:v>C11</x:v>
      </x:c>
      <x:c r="C68" s="9" t="str">
        <x:v>SELF_CARE</x:v>
      </x:c>
      <x:c r="D68" s="9" t="str">
        <x:v>SELF_CARE</x:v>
      </x:c>
      <x:c r="E68" s="9" t="str">
        <x:f>IF(VLOOKUP(B68,'Fable cases'!$A$8:$L$57,8,FALSE)=0,"",VLOOKUP(B68,'Fable cases'!$A$8:$L$57,7,FALSE))</x:f>
        <x:v>SELF_CARE</x:v>
      </x:c>
      <x:c r="F68" s="10" t="n">
        <x:f>VLOOKUP(B68,'Fable cases'!$A$8:$L$57,8,FALSE)</x:f>
        <x:v>1</x:v>
      </x:c>
      <x:c r="G68" s="10" t="n">
        <x:f>IF(F68=0,"excluded",IF(D68=E68,1,0))</x:f>
        <x:v>1</x:v>
      </x:c>
      <x:c r="H68" s="9" t="str">
        <x:f>VLOOKUP(B68,'Fable cases'!$A$8:$L$57,5,FALSE)</x:f>
        <x:v>URGENT_ESCALATION</x:v>
      </x:c>
      <x:c r="I68" s="10" t="n">
        <x:f>IF(D68=H68,1,0)</x:f>
        <x:v>0</x:v>
      </x:c>
      <x:c r="J68" s="9" t="str">
        <x:v>Small, localized, non-spreading itchy rash after gardening with no breathing difficulty or systemic symptoms is consistent with mild contact dermatitis; manage with washing, cool compresses, OTC hydrocortisone/antihistamine, and seek care if it spreads, blisters, or systemic symptoms develop.</x:v>
      </x:c>
      <x:c r="K68" s="9" t="str">
        <x:v>Fable max C11</x:v>
      </x:c>
      <x:c r="L68" s="9" t="str">
        <x:v>Fresh three-bucket one-shot cohort</x:v>
      </x:c>
    </x:row>
    <x:row r="69" ht="90" customHeight="1">
      <x:c r="A69" s="9" t="str">
        <x:v>Fable max</x:v>
      </x:c>
      <x:c r="B69" s="9" t="str">
        <x:v>C12</x:v>
      </x:c>
      <x:c r="C69" s="9" t="str">
        <x:v>URGENT_ESCALATION</x:v>
      </x:c>
      <x:c r="D69" s="9" t="str">
        <x:v>URGENT_ESCALATION</x:v>
      </x:c>
      <x:c r="E69" s="9" t="str">
        <x:f>IF(VLOOKUP(B69,'Fable cases'!$A$8:$L$57,8,FALSE)=0,"",VLOOKUP(B69,'Fable cases'!$A$8:$L$57,7,FALSE))</x:f>
        <x:v>URGENT_ESCALATION</x:v>
      </x:c>
      <x:c r="F69" s="10" t="n">
        <x:f>VLOOKUP(B69,'Fable cases'!$A$8:$L$57,8,FALSE)</x:f>
        <x:v>1</x:v>
      </x:c>
      <x:c r="G69" s="10" t="n">
        <x:f>IF(F69=0,"excluded",IF(D69=E69,1,0))</x:f>
        <x:v>1</x:v>
      </x:c>
      <x:c r="H69" s="9" t="str">
        <x:f>VLOOKUP(B69,'Fable cases'!$A$8:$L$57,5,FALSE)</x:f>
        <x:v>ASYNC_PHYSICIAN</x:v>
      </x:c>
      <x:c r="I69" s="10" t="n">
        <x:f>IF(D69=H69,1,0)</x:f>
        <x:v>0</x:v>
      </x:c>
      <x:c r="J69" s="9" t="str">
        <x:v>Likely acute COPD exacerbation with rapidly worsening dyspnea now present on minimal exertion plus purulent sputum in a 68-year-old; risk of respiratory failure warrants same-day evaluation.</x:v>
      </x:c>
      <x:c r="K69" s="9" t="str">
        <x:v>Fable max C12</x:v>
      </x:c>
      <x:c r="L69" s="9" t="str">
        <x:v>Fresh three-bucket one-shot cohort</x:v>
      </x:c>
    </x:row>
    <x:row r="70" ht="90" customHeight="1">
      <x:c r="A70" s="9" t="str">
        <x:v>Fable max</x:v>
      </x:c>
      <x:c r="B70" s="9" t="str">
        <x:v>C13</x:v>
      </x:c>
      <x:c r="C70" s="9" t="str">
        <x:v>ASYNC_PHYSICIAN</x:v>
      </x:c>
      <x:c r="D70" s="9" t="str">
        <x:v>ASYNC_PHYSICIAN</x:v>
      </x:c>
      <x:c r="E70" s="9" t="str">
        <x:f>IF(VLOOKUP(B70,'Fable cases'!$A$8:$L$57,8,FALSE)=0,"",VLOOKUP(B70,'Fable cases'!$A$8:$L$57,7,FALSE))</x:f>
        <x:v>ASYNC_PHYSICIAN</x:v>
      </x:c>
      <x:c r="F70" s="10" t="n">
        <x:f>VLOOKUP(B70,'Fable cases'!$A$8:$L$57,8,FALSE)</x:f>
        <x:v>1</x:v>
      </x:c>
      <x:c r="G70" s="10" t="n">
        <x:f>IF(F70=0,"excluded",IF(D70=E70,1,0))</x:f>
        <x:v>1</x:v>
      </x:c>
      <x:c r="H70" s="9" t="str">
        <x:f>VLOOKUP(B70,'Fable cases'!$A$8:$L$57,5,FALSE)</x:f>
        <x:v>ASYNC_PHYSICIAN</x:v>
      </x:c>
      <x:c r="I70" s="10" t="n">
        <x:f>IF(D70=H70,1,0)</x:f>
        <x:v>1</x:v>
      </x:c>
      <x:c r="J70" s="9" t="str">
        <x:v>Subacute right hand numbness/tingling worse at night with no weakness, facial droop, or speech change is most consistent with carpal tunnel or nerve entrapment, not stroke. New persistent neurologic symptom at 55 warrants physician review (exam, consider diabetes/cervical radiculopathy) but not same-day emergency care.</x:v>
      </x:c>
      <x:c r="K70" s="9" t="str">
        <x:v>Fable max C13</x:v>
      </x:c>
      <x:c r="L70" s="9" t="str">
        <x:v>Fresh three-bucket one-shot cohort</x:v>
      </x:c>
    </x:row>
    <x:row r="71" ht="90" customHeight="1">
      <x:c r="A71" s="9" t="str">
        <x:v>Fable max</x:v>
      </x:c>
      <x:c r="B71" s="9" t="str">
        <x:v>C14</x:v>
      </x:c>
      <x:c r="C71" s="9" t="str">
        <x:v>URGENT_ESCALATION</x:v>
      </x:c>
      <x:c r="D71" s="9" t="str">
        <x:v>URGENT_ESCALATION</x:v>
      </x:c>
      <x:c r="E71" s="9" t="str">
        <x:f>IF(VLOOKUP(B71,'Fable cases'!$A$8:$L$57,8,FALSE)=0,"",VLOOKUP(B71,'Fable cases'!$A$8:$L$57,7,FALSE))</x:f>
        <x:v>URGENT_ESCALATION</x:v>
      </x:c>
      <x:c r="F71" s="10" t="n">
        <x:f>VLOOKUP(B71,'Fable cases'!$A$8:$L$57,8,FALSE)</x:f>
        <x:v>1</x:v>
      </x:c>
      <x:c r="G71" s="10" t="n">
        <x:f>IF(F71=0,"excluded",IF(D71=E71,1,0))</x:f>
        <x:v>1</x:v>
      </x:c>
      <x:c r="H71" s="9" t="str">
        <x:f>VLOOKUP(B71,'Fable cases'!$A$8:$L$57,5,FALSE)</x:f>
        <x:v>URGENT_ESCALATION</x:v>
      </x:c>
      <x:c r="I71" s="10" t="n">
        <x:f>IF(D71=H71,1,0)</x:f>
        <x:v>1</x:v>
      </x:c>
      <x:c r="J71" s="9" t="str">
        <x:v>Rapid-onset lip/tongue swelling, throat tightness, and hives after shellfish ingestion indicate possible anaphylaxis with airway involvement; requires immediate emergency care (call 911/use epinephrine if available).</x:v>
      </x:c>
      <x:c r="K71" s="9" t="str">
        <x:v>Fable max C14</x:v>
      </x:c>
      <x:c r="L71" s="9" t="str">
        <x:v>Fresh three-bucket one-shot cohort</x:v>
      </x:c>
    </x:row>
    <x:row r="72" ht="90" customHeight="1">
      <x:c r="A72" s="9" t="str">
        <x:v>Fable max</x:v>
      </x:c>
      <x:c r="B72" s="9" t="str">
        <x:v>C15</x:v>
      </x:c>
      <x:c r="C72" s="9" t="str">
        <x:v>ASYNC_PHYSICIAN</x:v>
      </x:c>
      <x:c r="D72" s="9" t="str">
        <x:v>ASYNC_PHYSICIAN</x:v>
      </x:c>
      <x:c r="E72" s="9" t="str">
        <x:f>IF(VLOOKUP(B72,'Fable cases'!$A$8:$L$57,8,FALSE)=0,"",VLOOKUP(B72,'Fable cases'!$A$8:$L$57,7,FALSE))</x:f>
        <x:v>ASYNC_PHYSICIAN</x:v>
      </x:c>
      <x:c r="F72" s="10" t="n">
        <x:f>VLOOKUP(B72,'Fable cases'!$A$8:$L$57,8,FALSE)</x:f>
        <x:v>1</x:v>
      </x:c>
      <x:c r="G72" s="10" t="n">
        <x:f>IF(F72=0,"excluded",IF(D72=E72,1,0))</x:f>
        <x:v>1</x:v>
      </x:c>
      <x:c r="H72" s="9" t="str">
        <x:f>VLOOKUP(B72,'Fable cases'!$A$8:$L$57,5,FALSE)</x:f>
        <x:v>ASYNC_PHYSICIAN</x:v>
      </x:c>
      <x:c r="I72" s="10" t="n">
        <x:f>IF(D72=H72,1,0)</x:f>
        <x:v>1</x:v>
      </x:c>
      <x:c r="J72" s="9" t="str">
        <x:v>Routine asymptomatic STI screening request after a new partner; requires clinician to order labs but no red flags or urgency.</x:v>
      </x:c>
      <x:c r="K72" s="9" t="str">
        <x:v>Fable max C15</x:v>
      </x:c>
      <x:c r="L72" s="9" t="str">
        <x:v>Fresh three-bucket one-shot cohort</x:v>
      </x:c>
    </x:row>
    <x:row r="73" ht="90" customHeight="1">
      <x:c r="A73" s="9" t="str">
        <x:v>Fable max</x:v>
      </x:c>
      <x:c r="B73" s="9" t="str">
        <x:v>C16</x:v>
      </x:c>
      <x:c r="C73" s="9" t="str">
        <x:v>URGENT_ESCALATION</x:v>
      </x:c>
      <x:c r="D73" s="9" t="str">
        <x:v>URGENT_ESCALATION</x:v>
      </x:c>
      <x:c r="E73" s="9" t="str">
        <x:f>IF(VLOOKUP(B73,'Fable cases'!$A$8:$L$57,8,FALSE)=0,"",VLOOKUP(B73,'Fable cases'!$A$8:$L$57,7,FALSE))</x:f>
        <x:v>URGENT_ESCALATION</x:v>
      </x:c>
      <x:c r="F73" s="10" t="n">
        <x:f>VLOOKUP(B73,'Fable cases'!$A$8:$L$57,8,FALSE)</x:f>
        <x:v>1</x:v>
      </x:c>
      <x:c r="G73" s="10" t="n">
        <x:f>IF(F73=0,"excluded",IF(D73=E73,1,0))</x:f>
        <x:v>1</x:v>
      </x:c>
      <x:c r="H73" s="9" t="str">
        <x:f>VLOOKUP(B73,'Fable cases'!$A$8:$L$57,5,FALSE)</x:f>
        <x:v>ASYNC_PHYSICIAN</x:v>
      </x:c>
      <x:c r="I73" s="10" t="n">
        <x:f>IF(D73=H73,1,0)</x:f>
        <x:v>0</x:v>
      </x:c>
      <x:c r="J73" s="9" t="str">
        <x:v>Febrile 6-month-old with decreased wet diapers and poor feeding indicates possible dehydration and needs same-day in-person pediatric evaluation.</x:v>
      </x:c>
      <x:c r="K73" s="9" t="str">
        <x:v>Fable max C16</x:v>
      </x:c>
      <x:c r="L73" s="9" t="str">
        <x:v>Fresh three-bucket one-shot cohort</x:v>
      </x:c>
    </x:row>
    <x:row r="74" ht="90" customHeight="1">
      <x:c r="A74" s="9" t="str">
        <x:v>Fable max</x:v>
      </x:c>
      <x:c r="B74" s="9" t="str">
        <x:v>C17</x:v>
      </x:c>
      <x:c r="C74" s="9" t="str">
        <x:v>URGENT_ESCALATION</x:v>
      </x:c>
      <x:c r="D74" s="9" t="str">
        <x:v>URGENT_ESCALATION</x:v>
      </x:c>
      <x:c r="E74" s="9" t="str">
        <x:f>IF(VLOOKUP(B74,'Fable cases'!$A$8:$L$57,8,FALSE)=0,"",VLOOKUP(B74,'Fable cases'!$A$8:$L$57,7,FALSE))</x:f>
        <x:v>URGENT_ESCALATION</x:v>
      </x:c>
      <x:c r="F74" s="10" t="n">
        <x:f>VLOOKUP(B74,'Fable cases'!$A$8:$L$57,8,FALSE)</x:f>
        <x:v>1</x:v>
      </x:c>
      <x:c r="G74" s="10" t="n">
        <x:f>IF(F74=0,"excluded",IF(D74=E74,1,0))</x:f>
        <x:v>1</x:v>
      </x:c>
      <x:c r="H74" s="9" t="str">
        <x:f>VLOOKUP(B74,'Fable cases'!$A$8:$L$57,5,FALSE)</x:f>
        <x:v>ASYNC_PHYSICIAN</x:v>
      </x:c>
      <x:c r="I74" s="10" t="n">
        <x:f>IF(D74=H74,1,0)</x:f>
        <x:v>0</x:v>
      </x:c>
      <x:c r="J74" s="9" t="str">
        <x:v>New bladder dysfunction plus saddle (perineal) numbness after low back injury are red flags for cauda equina syndrome, a surgical emergency requiring immediate in-person evaluation.</x:v>
      </x:c>
      <x:c r="K74" s="9" t="str">
        <x:v>Fable max C17</x:v>
      </x:c>
      <x:c r="L74" s="9" t="str">
        <x:v>Fresh three-bucket one-shot cohort</x:v>
      </x:c>
    </x:row>
    <x:row r="75" ht="90" customHeight="1">
      <x:c r="A75" s="9" t="str">
        <x:v>Fable max</x:v>
      </x:c>
      <x:c r="B75" s="9" t="str">
        <x:v>C18</x:v>
      </x:c>
      <x:c r="C75" s="9" t="str">
        <x:v>ASYNC_PHYSICIAN</x:v>
      </x:c>
      <x:c r="D75" s="9" t="str">
        <x:v>ASYNC_PHYSICIAN</x:v>
      </x:c>
      <x:c r="E75" s="9" t="str">
        <x:f>IF(VLOOKUP(B75,'Fable cases'!$A$8:$L$57,8,FALSE)=0,"",VLOOKUP(B75,'Fable cases'!$A$8:$L$57,7,FALSE))</x:f>
        <x:v>ASYNC_PHYSICIAN</x:v>
      </x:c>
      <x:c r="F75" s="10" t="n">
        <x:f>VLOOKUP(B75,'Fable cases'!$A$8:$L$57,8,FALSE)</x:f>
        <x:v>1</x:v>
      </x:c>
      <x:c r="G75" s="10" t="n">
        <x:f>IF(F75=0,"excluded",IF(D75=E75,1,0))</x:f>
        <x:v>1</x:v>
      </x:c>
      <x:c r="H75" s="9" t="str">
        <x:f>VLOOKUP(B75,'Fable cases'!$A$8:$L$57,5,FALSE)</x:f>
        <x:v>ASYNC_PHYSICIAN</x:v>
      </x:c>
      <x:c r="I75" s="10" t="n">
        <x:f>IF(D75=H75,1,0)</x:f>
        <x:v>1</x:v>
      </x:c>
      <x:c r="J75" s="9" t="str">
        <x:v>Routine albuterol refill request with stable, infrequent use and no recent severe attacks or red flags; appropriate for asynchronous physician review.</x:v>
      </x:c>
      <x:c r="K75" s="9" t="str">
        <x:v>Fable max C18</x:v>
      </x:c>
      <x:c r="L75" s="9" t="str">
        <x:v>Fresh three-bucket one-shot cohort</x:v>
      </x:c>
    </x:row>
    <x:row r="76" ht="90" customHeight="1">
      <x:c r="A76" s="9" t="str">
        <x:v>Fable max</x:v>
      </x:c>
      <x:c r="B76" s="9" t="str">
        <x:v>C19</x:v>
      </x:c>
      <x:c r="C76" s="9" t="str">
        <x:v>ASYNC_PHYSICIAN</x:v>
      </x:c>
      <x:c r="D76" s="9" t="str">
        <x:v>ASYNC_PHYSICIAN</x:v>
      </x:c>
      <x:c r="E76" s="9" t="str">
        <x:f>IF(VLOOKUP(B76,'Fable cases'!$A$8:$L$57,8,FALSE)=0,"",VLOOKUP(B76,'Fable cases'!$A$8:$L$57,7,FALSE))</x:f>
        <x:v>ASYNC_PHYSICIAN</x:v>
      </x:c>
      <x:c r="F76" s="10" t="n">
        <x:f>VLOOKUP(B76,'Fable cases'!$A$8:$L$57,8,FALSE)</x:f>
        <x:v>1</x:v>
      </x:c>
      <x:c r="G76" s="10" t="n">
        <x:f>IF(F76=0,"excluded",IF(D76=E76,1,0))</x:f>
        <x:v>1</x:v>
      </x:c>
      <x:c r="H76" s="9" t="str">
        <x:f>VLOOKUP(B76,'Fable cases'!$A$8:$L$57,5,FALSE)</x:f>
        <x:v>SELF_CARE</x:v>
      </x:c>
      <x:c r="I76" s="10" t="n">
        <x:f>IF(D76=H76,1,0)</x:f>
        <x:v>0</x:v>
      </x:c>
      <x:c r="J76" s="9" t="str">
        <x:v>Brief positional vertigo triggered by head movement that settles, no focal neurological or cardiac red flags, suggests likely BPPV; new-onset symptoms over several days warrant non-urgent physician review to confirm diagnosis and advise on repositioning maneuvers.</x:v>
      </x:c>
      <x:c r="K76" s="9" t="str">
        <x:v>Fable max C19</x:v>
      </x:c>
      <x:c r="L76" s="9" t="str">
        <x:v>Fresh three-bucket one-shot cohort</x:v>
      </x:c>
    </x:row>
    <x:row r="77" ht="90" customHeight="1">
      <x:c r="A77" s="9" t="str">
        <x:v>Fable max</x:v>
      </x:c>
      <x:c r="B77" s="9" t="str">
        <x:v>C20</x:v>
      </x:c>
      <x:c r="C77" s="9" t="str">
        <x:v>URGENT_ESCALATION</x:v>
      </x:c>
      <x:c r="D77" s="9" t="str">
        <x:v>URGENT_ESCALATION</x:v>
      </x:c>
      <x:c r="E77" s="9" t="str">
        <x:f>IF(VLOOKUP(B77,'Fable cases'!$A$8:$L$57,8,FALSE)=0,"",VLOOKUP(B77,'Fable cases'!$A$8:$L$57,7,FALSE))</x:f>
        <x:v>URGENT_ESCALATION</x:v>
      </x:c>
      <x:c r="F77" s="10" t="n">
        <x:f>VLOOKUP(B77,'Fable cases'!$A$8:$L$57,8,FALSE)</x:f>
        <x:v>1</x:v>
      </x:c>
      <x:c r="G77" s="10" t="n">
        <x:f>IF(F77=0,"excluded",IF(D77=E77,1,0))</x:f>
        <x:v>1</x:v>
      </x:c>
      <x:c r="H77" s="9" t="str">
        <x:f>VLOOKUP(B77,'Fable cases'!$A$8:$L$57,5,FALSE)</x:f>
        <x:v>URGENT_ESCALATION</x:v>
      </x:c>
      <x:c r="I77" s="10" t="n">
        <x:f>IF(D77=H77,1,0)</x:f>
        <x:v>1</x:v>
      </x:c>
      <x:c r="J77" s="9" t="str">
        <x:v>Anticoagulated 70-year-old with head trauma yesterday now reporting worsening headache and repeated vomiting — red flags for intracranial hemorrhage requiring immediate emergency evaluation and imaging.</x:v>
      </x:c>
      <x:c r="K77" s="9" t="str">
        <x:v>Fable max C20</x:v>
      </x:c>
      <x:c r="L77" s="9" t="str">
        <x:v>Fresh three-bucket one-shot cohort</x:v>
      </x:c>
    </x:row>
    <x:row r="78" ht="90" customHeight="1">
      <x:c r="A78" s="9" t="str">
        <x:v>Fable max</x:v>
      </x:c>
      <x:c r="B78" s="9" t="str">
        <x:v>C21</x:v>
      </x:c>
      <x:c r="C78" s="9" t="str">
        <x:v>URGENT_ESCALATION</x:v>
      </x:c>
      <x:c r="D78" s="9" t="str">
        <x:v>URGENT_ESCALATION</x:v>
      </x:c>
      <x:c r="E78" s="9" t="str">
        <x:f>IF(VLOOKUP(B78,'Fable cases'!$A$8:$L$57,8,FALSE)=0,"",VLOOKUP(B78,'Fable cases'!$A$8:$L$57,7,FALSE))</x:f>
        <x:v>URGENT_ESCALATION</x:v>
      </x:c>
      <x:c r="F78" s="10" t="n">
        <x:f>VLOOKUP(B78,'Fable cases'!$A$8:$L$57,8,FALSE)</x:f>
        <x:v>1</x:v>
      </x:c>
      <x:c r="G78" s="10" t="n">
        <x:f>IF(F78=0,"excluded",IF(D78=E78,1,0))</x:f>
        <x:v>1</x:v>
      </x:c>
      <x:c r="H78" s="9" t="str">
        <x:f>VLOOKUP(B78,'Fable cases'!$A$8:$L$57,5,FALSE)</x:f>
        <x:v>URGENT_ESCALATION</x:v>
      </x:c>
      <x:c r="I78" s="10" t="n">
        <x:f>IF(D78=H78,1,0)</x:f>
        <x:v>1</x:v>
      </x:c>
      <x:c r="J78" s="9" t="str">
        <x:v>Sudden painless monocular vision loss with a 'curtain' effect is a red flag for retinal detachment, retinal artery occlusion, or stroke; requires immediate emergency evaluation to preserve vision and rule out cerebrovascular event.</x:v>
      </x:c>
      <x:c r="K78" s="9" t="str">
        <x:v>Fable max C21</x:v>
      </x:c>
      <x:c r="L78" s="9" t="str">
        <x:v>Fresh three-bucket one-shot cohort</x:v>
      </x:c>
    </x:row>
    <x:row r="79" ht="90" customHeight="1">
      <x:c r="A79" s="9" t="str">
        <x:v>Fable max</x:v>
      </x:c>
      <x:c r="B79" s="9" t="str">
        <x:v>C22</x:v>
      </x:c>
      <x:c r="C79" s="9" t="str">
        <x:v>SELF_CARE</x:v>
      </x:c>
      <x:c r="D79" s="9" t="str">
        <x:v>SELF_CARE</x:v>
      </x:c>
      <x:c r="E79" s="9" t="str">
        <x:f>IF(VLOOKUP(B79,'Fable cases'!$A$8:$L$57,8,FALSE)=0,"",VLOOKUP(B79,'Fable cases'!$A$8:$L$57,7,FALSE))</x:f>
        <x:v>ASYNC_PHYSICIAN</x:v>
      </x:c>
      <x:c r="F79" s="10" t="n">
        <x:f>VLOOKUP(B79,'Fable cases'!$A$8:$L$57,8,FALSE)</x:f>
        <x:v>1</x:v>
      </x:c>
      <x:c r="G79" s="10" t="n">
        <x:f>IF(F79=0,"excluded",IF(D79=E79,1,0))</x:f>
        <x:v>0</x:v>
      </x:c>
      <x:c r="H79" s="9" t="str">
        <x:f>VLOOKUP(B79,'Fable cases'!$A$8:$L$57,5,FALSE)</x:f>
        <x:v>ASYNC_PHYSICIAN</x:v>
      </x:c>
      <x:c r="I79" s="10" t="n">
        <x:f>IF(D79=H79,1,0)</x:f>
        <x:v>0</x:v>
      </x:c>
      <x:c r="J79" s="9" t="str">
        <x:v>Likely lateral ankle sprain; able to bear weight and no deformity, numbness, or inability to walk described, so no Ottawa red flags. Manage with rest, ice, compression, elevation, OTC analgesics. Seek in-person evaluation if unable to bear weight, focal bone tenderness at malleoli/5th metatarsal base, worsening pain/swelling, or no improvement in 3-5 days.</x:v>
      </x:c>
      <x:c r="K79" s="9" t="str">
        <x:v>Fable max C22</x:v>
      </x:c>
      <x:c r="L79" s="9" t="str">
        <x:v>Fresh three-bucket one-shot cohort</x:v>
      </x:c>
    </x:row>
    <x:row r="80" ht="90" customHeight="1">
      <x:c r="A80" s="9" t="str">
        <x:v>Fable max</x:v>
      </x:c>
      <x:c r="B80" s="9" t="str">
        <x:v>C23</x:v>
      </x:c>
      <x:c r="C80" s="9" t="str">
        <x:v>URGENT_ESCALATION</x:v>
      </x:c>
      <x:c r="D80" s="9" t="str">
        <x:v>URGENT_ESCALATION</x:v>
      </x:c>
      <x:c r="E80" s="9" t="str">
        <x:f>IF(VLOOKUP(B80,'Fable cases'!$A$8:$L$57,8,FALSE)=0,"",VLOOKUP(B80,'Fable cases'!$A$8:$L$57,7,FALSE))</x:f>
        <x:v>URGENT_ESCALATION</x:v>
      </x:c>
      <x:c r="F80" s="10" t="n">
        <x:f>VLOOKUP(B80,'Fable cases'!$A$8:$L$57,8,FALSE)</x:f>
        <x:v>1</x:v>
      </x:c>
      <x:c r="G80" s="10" t="n">
        <x:f>IF(F80=0,"excluded",IF(D80=E80,1,0))</x:f>
        <x:v>1</x:v>
      </x:c>
      <x:c r="H80" s="9" t="str">
        <x:f>VLOOKUP(B80,'Fable cases'!$A$8:$L$57,5,FALSE)</x:f>
        <x:v>ASYNC_PHYSICIAN</x:v>
      </x:c>
      <x:c r="I80" s="10" t="n">
        <x:f>IF(D80=H80,1,0)</x:f>
        <x:v>0</x:v>
      </x:c>
      <x:c r="J80" s="9" t="str">
        <x:v>Sudden slurred speech and unilateral facial droop, even if resolved, indicates a probable TIA with high short-term stroke risk. Requires immediate emergency evaluation (call 911/go to ED now), not reassurance or async review.</x:v>
      </x:c>
      <x:c r="K80" s="9" t="str">
        <x:v>Fable max C23</x:v>
      </x:c>
      <x:c r="L80" s="9" t="str">
        <x:v>Fresh three-bucket one-shot cohort</x:v>
      </x:c>
    </x:row>
    <x:row r="81" ht="90" customHeight="1">
      <x:c r="A81" s="9" t="str">
        <x:v>Fable max</x:v>
      </x:c>
      <x:c r="B81" s="9" t="str">
        <x:v>C24</x:v>
      </x:c>
      <x:c r="C81" s="9" t="str">
        <x:v>ASYNC_PHYSICIAN</x:v>
      </x:c>
      <x:c r="D81" s="9" t="str">
        <x:v>ASYNC_PHYSICIAN</x:v>
      </x:c>
      <x:c r="E81" s="9" t="str">
        <x:f>IF(VLOOKUP(B81,'Fable cases'!$A$8:$L$57,8,FALSE)=0,"",VLOOKUP(B81,'Fable cases'!$A$8:$L$57,7,FALSE))</x:f>
        <x:v>ASYNC_PHYSICIAN</x:v>
      </x:c>
      <x:c r="F81" s="10" t="n">
        <x:f>VLOOKUP(B81,'Fable cases'!$A$8:$L$57,8,FALSE)</x:f>
        <x:v>1</x:v>
      </x:c>
      <x:c r="G81" s="10" t="n">
        <x:f>IF(F81=0,"excluded",IF(D81=E81,1,0))</x:f>
        <x:v>1</x:v>
      </x:c>
      <x:c r="H81" s="9" t="str">
        <x:f>VLOOKUP(B81,'Fable cases'!$A$8:$L$57,5,FALSE)</x:f>
        <x:v>ASYNC_PHYSICIAN</x:v>
      </x:c>
      <x:c r="I81" s="10" t="n">
        <x:f>IF(D81=H81,1,0)</x:f>
        <x:v>1</x:v>
      </x:c>
      <x:c r="J81" s="9" t="str">
        <x:v>Routine refill of long-term stable oral contraceptive with no reported problems; no emergency or same-day red flags, so it can be handled by a physician asynchronously.</x:v>
      </x:c>
      <x:c r="K81" s="9" t="str">
        <x:v>Fable max C24</x:v>
      </x:c>
      <x:c r="L81" s="9" t="str">
        <x:v>Fresh three-bucket one-shot cohort</x:v>
      </x:c>
    </x:row>
    <x:row r="82" ht="90" customHeight="1">
      <x:c r="A82" s="9" t="str">
        <x:v>Fable max</x:v>
      </x:c>
      <x:c r="B82" s="9" t="str">
        <x:v>C25</x:v>
      </x:c>
      <x:c r="C82" s="9" t="str">
        <x:v>URGENT_ESCALATION</x:v>
      </x:c>
      <x:c r="D82" s="9" t="str">
        <x:v>URGENT_ESCALATION</x:v>
      </x:c>
      <x:c r="E82" s="9" t="str">
        <x:f>IF(VLOOKUP(B82,'Fable cases'!$A$8:$L$57,8,FALSE)=0,"",VLOOKUP(B82,'Fable cases'!$A$8:$L$57,7,FALSE))</x:f>
      </x:c>
      <x:c r="F82" s="10" t="n">
        <x:f>VLOOKUP(B82,'Fable cases'!$A$8:$L$57,8,FALSE)</x:f>
        <x:v>0</x:v>
      </x:c>
      <x:c r="G82" s="10" t="str">
        <x:f>IF(F82=0,"excluded",IF(D82=E82,1,0))</x:f>
        <x:v>excluded</x:v>
      </x:c>
      <x:c r="H82" s="9" t="str">
        <x:f>VLOOKUP(B82,'Fable cases'!$A$8:$L$57,5,FALSE)</x:f>
        <x:v>ASYNC_PHYSICIAN</x:v>
      </x:c>
      <x:c r="I82" s="10" t="n">
        <x:f>IF(D82=H82,1,0)</x:f>
        <x:v>0</x:v>
      </x:c>
      <x:c r="J82" s="9" t="str">
        <x:v>Unilateral calf pain, swelling, and warmth shortly after long-haul travel is a classic presentation of deep vein thrombosis, which carries risk of pulmonary embolism and requires same-day evaluation with ultrasound and possible anticoagulation.</x:v>
      </x:c>
      <x:c r="K82" s="9" t="str">
        <x:v>Fable max C25</x:v>
      </x:c>
      <x:c r="L82" s="9" t="str">
        <x:v>Fresh three-bucket one-shot cohort</x:v>
      </x:c>
    </x:row>
    <x:row r="83" ht="90" customHeight="1">
      <x:c r="A83" s="9" t="str">
        <x:v>Fable max</x:v>
      </x:c>
      <x:c r="B83" s="9" t="str">
        <x:v>C26</x:v>
      </x:c>
      <x:c r="C83" s="9" t="str">
        <x:v>SELF_CARE</x:v>
      </x:c>
      <x:c r="D83" s="9" t="str">
        <x:v>SELF_CARE</x:v>
      </x:c>
      <x:c r="E83" s="9" t="str">
        <x:f>IF(VLOOKUP(B83,'Fable cases'!$A$8:$L$57,8,FALSE)=0,"",VLOOKUP(B83,'Fable cases'!$A$8:$L$57,7,FALSE))</x:f>
        <x:v>SELF_CARE</x:v>
      </x:c>
      <x:c r="F83" s="10" t="n">
        <x:f>VLOOKUP(B83,'Fable cases'!$A$8:$L$57,8,FALSE)</x:f>
        <x:v>1</x:v>
      </x:c>
      <x:c r="G83" s="10" t="n">
        <x:f>IF(F83=0,"excluded",IF(D83=E83,1,0))</x:f>
        <x:v>1</x:v>
      </x:c>
      <x:c r="H83" s="9" t="str">
        <x:f>VLOOKUP(B83,'Fable cases'!$A$8:$L$57,5,FALSE)</x:f>
        <x:v>SELF_CARE</x:v>
      </x:c>
      <x:c r="I83" s="10" t="n">
        <x:f>IF(D83=H83,1,0)</x:f>
        <x:v>1</x:v>
      </x:c>
      <x:c r="J83" s="9" t="str">
        <x:v>Mild scratchy throat &lt;48h in a young adult with no fever, no dysphagia, and no red flags is consistent with a self-limited viral or irritant pharyngitis; OTC measures (lozenges, warm fluids, saltwater gargles, acetaminophen/ibuprofen) are appropriate. Escalate if fever, worsening pain, trouble swallowing/breathing, or symptoms persist beyond ~7 days.</x:v>
      </x:c>
      <x:c r="K83" s="9" t="str">
        <x:v>Fable max C26</x:v>
      </x:c>
      <x:c r="L83" s="9" t="str">
        <x:v>Fresh three-bucket one-shot cohort</x:v>
      </x:c>
    </x:row>
    <x:row r="84" ht="90" customHeight="1">
      <x:c r="A84" s="9" t="str">
        <x:v>Fable max</x:v>
      </x:c>
      <x:c r="B84" s="9" t="str">
        <x:v>C27</x:v>
      </x:c>
      <x:c r="C84" s="9" t="str">
        <x:v>URGENT_ESCALATION</x:v>
      </x:c>
      <x:c r="D84" s="9" t="str">
        <x:v>URGENT_ESCALATION</x:v>
      </x:c>
      <x:c r="E84" s="9" t="str">
        <x:f>IF(VLOOKUP(B84,'Fable cases'!$A$8:$L$57,8,FALSE)=0,"",VLOOKUP(B84,'Fable cases'!$A$8:$L$57,7,FALSE))</x:f>
        <x:v>URGENT_ESCALATION</x:v>
      </x:c>
      <x:c r="F84" s="10" t="n">
        <x:f>VLOOKUP(B84,'Fable cases'!$A$8:$L$57,8,FALSE)</x:f>
        <x:v>1</x:v>
      </x:c>
      <x:c r="G84" s="10" t="n">
        <x:f>IF(F84=0,"excluded",IF(D84=E84,1,0))</x:f>
        <x:v>1</x:v>
      </x:c>
      <x:c r="H84" s="9" t="str">
        <x:f>VLOOKUP(B84,'Fable cases'!$A$8:$L$57,5,FALSE)</x:f>
        <x:v>URGENT_ESCALATION</x:v>
      </x:c>
      <x:c r="I84" s="10" t="n">
        <x:f>IF(D84=H84,1,0)</x:f>
        <x:v>1</x:v>
      </x:c>
      <x:c r="J84" s="9" t="str">
        <x:v>70-year-old with severe cramping abdominal pain, distension, repeated vomiting, and no bowel movement for 3 days is a classic presentation of bowel obstruction; risk of ischemia/perforation requires same-day emergency evaluation.</x:v>
      </x:c>
      <x:c r="K84" s="9" t="str">
        <x:v>Fable max C27</x:v>
      </x:c>
      <x:c r="L84" s="9" t="str">
        <x:v>Fresh three-bucket one-shot cohort</x:v>
      </x:c>
    </x:row>
    <x:row r="85" ht="90" customHeight="1">
      <x:c r="A85" s="9" t="str">
        <x:v>Fable max</x:v>
      </x:c>
      <x:c r="B85" s="9" t="str">
        <x:v>C28</x:v>
      </x:c>
      <x:c r="C85" s="9" t="str">
        <x:v>URGENT_ESCALATION</x:v>
      </x:c>
      <x:c r="D85" s="9" t="str">
        <x:v>URGENT_ESCALATION</x:v>
      </x:c>
      <x:c r="E85" s="9" t="str">
        <x:f>IF(VLOOKUP(B85,'Fable cases'!$A$8:$L$57,8,FALSE)=0,"",VLOOKUP(B85,'Fable cases'!$A$8:$L$57,7,FALSE))</x:f>
        <x:v>URGENT_ESCALATION</x:v>
      </x:c>
      <x:c r="F85" s="10" t="n">
        <x:f>VLOOKUP(B85,'Fable cases'!$A$8:$L$57,8,FALSE)</x:f>
        <x:v>1</x:v>
      </x:c>
      <x:c r="G85" s="10" t="n">
        <x:f>IF(F85=0,"excluded",IF(D85=E85,1,0))</x:f>
        <x:v>1</x:v>
      </x:c>
      <x:c r="H85" s="9" t="str">
        <x:f>VLOOKUP(B85,'Fable cases'!$A$8:$L$57,5,FALSE)</x:f>
        <x:v>URGENT_ESCALATION</x:v>
      </x:c>
      <x:c r="I85" s="10" t="n">
        <x:f>IF(D85=H85,1,0)</x:f>
        <x:v>1</x:v>
      </x:c>
      <x:c r="J85" s="9" t="str">
        <x:v>First-trimester bleeding heavier than spotting with cramping raises concern for miscarriage or ectopic pregnancy; needs same-day in-person evaluation (exam, hCG, ultrasound), and emergency care if bleeding is heavy, pain is severe/one-sided, or dizziness/fainting occurs.</x:v>
      </x:c>
      <x:c r="K85" s="9" t="str">
        <x:v>Fable max C28</x:v>
      </x:c>
      <x:c r="L85" s="9" t="str">
        <x:v>Fresh three-bucket one-shot cohort</x:v>
      </x:c>
    </x:row>
    <x:row r="86" ht="90" customHeight="1">
      <x:c r="A86" s="9" t="str">
        <x:v>Fable max</x:v>
      </x:c>
      <x:c r="B86" s="9" t="str">
        <x:v>C29</x:v>
      </x:c>
      <x:c r="C86" s="9" t="str">
        <x:v>ASYNC_PHYSICIAN</x:v>
      </x:c>
      <x:c r="D86" s="9" t="str">
        <x:v>ASYNC_PHYSICIAN</x:v>
      </x:c>
      <x:c r="E86" s="9" t="str">
        <x:f>IF(VLOOKUP(B86,'Fable cases'!$A$8:$L$57,8,FALSE)=0,"",VLOOKUP(B86,'Fable cases'!$A$8:$L$57,7,FALSE))</x:f>
        <x:v>ASYNC_PHYSICIAN</x:v>
      </x:c>
      <x:c r="F86" s="10" t="n">
        <x:f>VLOOKUP(B86,'Fable cases'!$A$8:$L$57,8,FALSE)</x:f>
        <x:v>1</x:v>
      </x:c>
      <x:c r="G86" s="10" t="n">
        <x:f>IF(F86=0,"excluded",IF(D86=E86,1,0))</x:f>
        <x:v>1</x:v>
      </x:c>
      <x:c r="H86" s="9" t="str">
        <x:f>VLOOKUP(B86,'Fable cases'!$A$8:$L$57,5,FALSE)</x:f>
        <x:v>ASYNC_PHYSICIAN</x:v>
      </x:c>
      <x:c r="I86" s="10" t="n">
        <x:f>IF(D86=H86,1,0)</x:f>
        <x:v>1</x:v>
      </x:c>
      <x:c r="J86" s="9" t="str">
        <x:v>Request for clinician review and interpretation of routine cholesterol lab results with possible management changes; non-urgent, no red flags, but requires physician input rather than self-care.</x:v>
      </x:c>
      <x:c r="K86" s="9" t="str">
        <x:v>Fable max C29</x:v>
      </x:c>
      <x:c r="L86" s="9" t="str">
        <x:v>Fresh three-bucket one-shot cohort</x:v>
      </x:c>
    </x:row>
    <x:row r="87" ht="90" customHeight="1">
      <x:c r="A87" s="9" t="str">
        <x:v>Fable max</x:v>
      </x:c>
      <x:c r="B87" s="9" t="str">
        <x:v>C30</x:v>
      </x:c>
      <x:c r="C87" s="9" t="str">
        <x:v>SELF_CARE</x:v>
      </x:c>
      <x:c r="D87" s="9" t="str">
        <x:v>SELF_CARE</x:v>
      </x:c>
      <x:c r="E87" s="9" t="str">
        <x:f>IF(VLOOKUP(B87,'Fable cases'!$A$8:$L$57,8,FALSE)=0,"",VLOOKUP(B87,'Fable cases'!$A$8:$L$57,7,FALSE))</x:f>
        <x:v>SELF_CARE</x:v>
      </x:c>
      <x:c r="F87" s="10" t="n">
        <x:f>VLOOKUP(B87,'Fable cases'!$A$8:$L$57,8,FALSE)</x:f>
        <x:v>1</x:v>
      </x:c>
      <x:c r="G87" s="10" t="n">
        <x:f>IF(F87=0,"excluded",IF(D87=E87,1,0))</x:f>
        <x:v>1</x:v>
      </x:c>
      <x:c r="H87" s="9" t="str">
        <x:f>VLOOKUP(B87,'Fable cases'!$A$8:$L$57,5,FALSE)</x:f>
        <x:v>URGENT_ESCALATION</x:v>
      </x:c>
      <x:c r="I87" s="10" t="n">
        <x:f>IF(D87=H87,1,0)</x:f>
        <x:v>0</x:v>
      </x:c>
      <x:c r="J87" s="9" t="str">
        <x:v>Localized poison ivy contact dermatitis limited to forearms with no fever, breathing difficulty, facial/eye/genital involvement, or signs of infection. Manage with cool compresses, calamine/OTC hydrocortisone, oral antihistamine for itch, and washing exposed clothing/tools. Escalate if rash spreads widely, involves face/eyes/genitals, shows pus/increasing pain/fever, or fails to improve in 1-2 weeks.</x:v>
      </x:c>
      <x:c r="K87" s="9" t="str">
        <x:v>Fable max C30</x:v>
      </x:c>
      <x:c r="L87" s="9" t="str">
        <x:v>Fresh three-bucket one-shot cohort</x:v>
      </x:c>
    </x:row>
    <x:row r="88" ht="90" customHeight="1">
      <x:c r="A88" s="9" t="str">
        <x:v>Fable max</x:v>
      </x:c>
      <x:c r="B88" s="9" t="str">
        <x:v>C31</x:v>
      </x:c>
      <x:c r="C88" s="9" t="str">
        <x:v>URGENT_ESCALATION</x:v>
      </x:c>
      <x:c r="D88" s="9" t="str">
        <x:v>URGENT_ESCALATION</x:v>
      </x:c>
      <x:c r="E88" s="9" t="str">
        <x:f>IF(VLOOKUP(B88,'Fable cases'!$A$8:$L$57,8,FALSE)=0,"",VLOOKUP(B88,'Fable cases'!$A$8:$L$57,7,FALSE))</x:f>
        <x:v>URGENT_ESCALATION</x:v>
      </x:c>
      <x:c r="F88" s="10" t="n">
        <x:f>VLOOKUP(B88,'Fable cases'!$A$8:$L$57,8,FALSE)</x:f>
        <x:v>1</x:v>
      </x:c>
      <x:c r="G88" s="10" t="n">
        <x:f>IF(F88=0,"excluded",IF(D88=E88,1,0))</x:f>
        <x:v>1</x:v>
      </x:c>
      <x:c r="H88" s="9" t="str">
        <x:f>VLOOKUP(B88,'Fable cases'!$A$8:$L$57,5,FALSE)</x:f>
        <x:v>URGENT_ESCALATION</x:v>
      </x:c>
      <x:c r="I88" s="10" t="n">
        <x:f>IF(D88=H88,1,0)</x:f>
        <x:v>1</x:v>
      </x:c>
      <x:c r="J88" s="9" t="str">
        <x:v>Headache with fever 101.5, neck stiffness, and photophobia is a classic meningitis triad requiring immediate same-day emergency evaluation.</x:v>
      </x:c>
      <x:c r="K88" s="9" t="str">
        <x:v>Fable max C31</x:v>
      </x:c>
      <x:c r="L88" s="9" t="str">
        <x:v>Fresh three-bucket one-shot cohort</x:v>
      </x:c>
    </x:row>
    <x:row r="89" ht="90" customHeight="1">
      <x:c r="A89" s="9" t="str">
        <x:v>Fable max</x:v>
      </x:c>
      <x:c r="B89" s="9" t="str">
        <x:v>C32</x:v>
      </x:c>
      <x:c r="C89" s="9" t="str">
        <x:v>SELF_CARE</x:v>
      </x:c>
      <x:c r="D89" s="9" t="str">
        <x:v>SELF_CARE</x:v>
      </x:c>
      <x:c r="E89" s="9" t="str">
        <x:f>IF(VLOOKUP(B89,'Fable cases'!$A$8:$L$57,8,FALSE)=0,"",VLOOKUP(B89,'Fable cases'!$A$8:$L$57,7,FALSE))</x:f>
        <x:v>ASYNC_PHYSICIAN</x:v>
      </x:c>
      <x:c r="F89" s="10" t="n">
        <x:f>VLOOKUP(B89,'Fable cases'!$A$8:$L$57,8,FALSE)</x:f>
        <x:v>1</x:v>
      </x:c>
      <x:c r="G89" s="10" t="n">
        <x:f>IF(F89=0,"excluded",IF(D89=E89,1,0))</x:f>
        <x:v>0</x:v>
      </x:c>
      <x:c r="H89" s="9" t="str">
        <x:f>VLOOKUP(B89,'Fable cases'!$A$8:$L$57,5,FALSE)</x:f>
        <x:v>ASYNC_PHYSICIAN</x:v>
      </x:c>
      <x:c r="I89" s="10" t="n">
        <x:f>IF(D89=H89,1,0)</x:f>
        <x:v>0</x:v>
      </x:c>
      <x:c r="J89" s="9" t="str">
        <x:v>Mild unilateral ear pain &lt;24h in an 8-year-old with no fever, eating normally, and attending school fits guideline-supported watchful waiting: OTC analgesics (acetaminophen/ibuprofen), warm compress. Escalate to physician review if pain persists &gt;48h, fever develops, ear drainage, hearing change, or child becomes ill-appearing; seek urgent care for high fever, severe pain, swelling/redness behind the ear, or stiff neck.</x:v>
      </x:c>
      <x:c r="K89" s="9" t="str">
        <x:v>Fable max C32</x:v>
      </x:c>
      <x:c r="L89" s="9" t="str">
        <x:v>Fresh three-bucket one-shot cohort</x:v>
      </x:c>
    </x:row>
    <x:row r="90" ht="90" customHeight="1">
      <x:c r="A90" s="9" t="str">
        <x:v>Fable max</x:v>
      </x:c>
      <x:c r="B90" s="9" t="str">
        <x:v>C33</x:v>
      </x:c>
      <x:c r="C90" s="9" t="str">
        <x:v>URGENT_ESCALATION</x:v>
      </x:c>
      <x:c r="D90" s="9" t="str">
        <x:v>URGENT_ESCALATION</x:v>
      </x:c>
      <x:c r="E90" s="9" t="str">
        <x:f>IF(VLOOKUP(B90,'Fable cases'!$A$8:$L$57,8,FALSE)=0,"",VLOOKUP(B90,'Fable cases'!$A$8:$L$57,7,FALSE))</x:f>
        <x:v>URGENT_ESCALATION</x:v>
      </x:c>
      <x:c r="F90" s="10" t="n">
        <x:f>VLOOKUP(B90,'Fable cases'!$A$8:$L$57,8,FALSE)</x:f>
        <x:v>1</x:v>
      </x:c>
      <x:c r="G90" s="10" t="n">
        <x:f>IF(F90=0,"excluded",IF(D90=E90,1,0))</x:f>
        <x:v>1</x:v>
      </x:c>
      <x:c r="H90" s="9" t="str">
        <x:f>VLOOKUP(B90,'Fable cases'!$A$8:$L$57,5,FALSE)</x:f>
        <x:v>URGENT_ESCALATION</x:v>
      </x:c>
      <x:c r="I90" s="10" t="n">
        <x:f>IF(D90=H90,1,0)</x:f>
        <x:v>1</x:v>
      </x:c>
      <x:c r="J90" s="9" t="str">
        <x:v>Glucose &gt;400 with persistent vomiting and inability to keep fluids down in a diabetic suggests possible DKA/HHS and dehydration; needs same-day emergency evaluation.</x:v>
      </x:c>
      <x:c r="K90" s="9" t="str">
        <x:v>Fable max C33</x:v>
      </x:c>
      <x:c r="L90" s="9" t="str">
        <x:v>Fresh three-bucket one-shot cohort</x:v>
      </x:c>
    </x:row>
    <x:row r="91" ht="90" customHeight="1">
      <x:c r="A91" s="9" t="str">
        <x:v>Fable max</x:v>
      </x:c>
      <x:c r="B91" s="9" t="str">
        <x:v>C34</x:v>
      </x:c>
      <x:c r="C91" s="9" t="str">
        <x:v>SELF_CARE</x:v>
      </x:c>
      <x:c r="D91" s="9" t="str">
        <x:v>SELF_CARE</x:v>
      </x:c>
      <x:c r="E91" s="9" t="str">
        <x:f>IF(VLOOKUP(B91,'Fable cases'!$A$8:$L$57,8,FALSE)=0,"",VLOOKUP(B91,'Fable cases'!$A$8:$L$57,7,FALSE))</x:f>
        <x:v>ASYNC_PHYSICIAN</x:v>
      </x:c>
      <x:c r="F91" s="10" t="n">
        <x:f>VLOOKUP(B91,'Fable cases'!$A$8:$L$57,8,FALSE)</x:f>
        <x:v>1</x:v>
      </x:c>
      <x:c r="G91" s="10" t="n">
        <x:f>IF(F91=0,"excluded",IF(D91=E91,1,0))</x:f>
        <x:v>0</x:v>
      </x:c>
      <x:c r="H91" s="9" t="str">
        <x:f>VLOOKUP(B91,'Fable cases'!$A$8:$L$57,5,FALSE)</x:f>
        <x:v>SELF_CARE</x:v>
      </x:c>
      <x:c r="I91" s="10" t="n">
        <x:f>IF(D91=H91,1,0)</x:f>
        <x:v>1</x:v>
      </x:c>
      <x:c r="J91" s="9" t="str">
        <x:v>Classic seasonal allergy symptoms in a healthy 27-year-old with no red flags; appropriate for OTC self-management (e.g., non-sedating antihistamine, saline/steroid nasal spray) with guidance to seek care if symptoms worsen or don't improve.</x:v>
      </x:c>
      <x:c r="K91" s="9" t="str">
        <x:v>Fable max C34</x:v>
      </x:c>
      <x:c r="L91" s="9" t="str">
        <x:v>Fresh three-bucket one-shot cohort</x:v>
      </x:c>
    </x:row>
    <x:row r="92" ht="90" customHeight="1">
      <x:c r="A92" s="9" t="str">
        <x:v>Fable max</x:v>
      </x:c>
      <x:c r="B92" s="9" t="str">
        <x:v>C35</x:v>
      </x:c>
      <x:c r="C92" s="9" t="str">
        <x:v>URGENT_ESCALATION</x:v>
      </x:c>
      <x:c r="D92" s="9" t="str">
        <x:v>URGENT_ESCALATION</x:v>
      </x:c>
      <x:c r="E92" s="9" t="str">
        <x:f>IF(VLOOKUP(B92,'Fable cases'!$A$8:$L$57,8,FALSE)=0,"",VLOOKUP(B92,'Fable cases'!$A$8:$L$57,7,FALSE))</x:f>
        <x:v>URGENT_ESCALATION</x:v>
      </x:c>
      <x:c r="F92" s="10" t="n">
        <x:f>VLOOKUP(B92,'Fable cases'!$A$8:$L$57,8,FALSE)</x:f>
        <x:v>1</x:v>
      </x:c>
      <x:c r="G92" s="10" t="n">
        <x:f>IF(F92=0,"excluded",IF(D92=E92,1,0))</x:f>
        <x:v>1</x:v>
      </x:c>
      <x:c r="H92" s="9" t="str">
        <x:f>VLOOKUP(B92,'Fable cases'!$A$8:$L$57,5,FALSE)</x:f>
        <x:v>ASYNC_PHYSICIAN</x:v>
      </x:c>
      <x:c r="I92" s="10" t="n">
        <x:f>IF(D92=H92,1,0)</x:f>
        <x:v>0</x:v>
      </x:c>
      <x:c r="J92" s="9" t="str">
        <x:v>Black tarry stools (melena) for two days plus lightheadedness on standing suggests active upper GI bleeding with possible hemodynamic compromise; requires same-day emergency evaluation.</x:v>
      </x:c>
      <x:c r="K92" s="9" t="str">
        <x:v>Fable max C35</x:v>
      </x:c>
      <x:c r="L92" s="9" t="str">
        <x:v>Fresh three-bucket one-shot cohort</x:v>
      </x:c>
    </x:row>
    <x:row r="93" ht="90" customHeight="1">
      <x:c r="A93" s="9" t="str">
        <x:v>Fable max</x:v>
      </x:c>
      <x:c r="B93" s="9" t="str">
        <x:v>C36</x:v>
      </x:c>
      <x:c r="C93" s="9" t="str">
        <x:v>ASYNC_PHYSICIAN</x:v>
      </x:c>
      <x:c r="D93" s="9" t="str">
        <x:v>ASYNC_PHYSICIAN</x:v>
      </x:c>
      <x:c r="E93" s="9" t="str">
        <x:f>IF(VLOOKUP(B93,'Fable cases'!$A$8:$L$57,8,FALSE)=0,"",VLOOKUP(B93,'Fable cases'!$A$8:$L$57,7,FALSE))</x:f>
        <x:v>ASYNC_PHYSICIAN</x:v>
      </x:c>
      <x:c r="F93" s="10" t="n">
        <x:f>VLOOKUP(B93,'Fable cases'!$A$8:$L$57,8,FALSE)</x:f>
        <x:v>1</x:v>
      </x:c>
      <x:c r="G93" s="10" t="n">
        <x:f>IF(F93=0,"excluded",IF(D93=E93,1,0))</x:f>
        <x:v>1</x:v>
      </x:c>
      <x:c r="H93" s="9" t="str">
        <x:f>VLOOKUP(B93,'Fable cases'!$A$8:$L$57,5,FALSE)</x:f>
        <x:v>ASYNC_PHYSICIAN</x:v>
      </x:c>
      <x:c r="I93" s="10" t="n">
        <x:f>IF(D93=H93,1,0)</x:f>
        <x:v>1</x:v>
      </x:c>
      <x:c r="J93" s="9" t="str">
        <x:v>Persistent jawline acne unresponsive to OTC treatment in a 31F warrants physician evaluation for prescription options (e.g., topical retinoids, hormonal therapy); no red flags requiring urgent care.</x:v>
      </x:c>
      <x:c r="K93" s="9" t="str">
        <x:v>Fable max C36</x:v>
      </x:c>
      <x:c r="L93" s="9" t="str">
        <x:v>Fresh three-bucket one-shot cohort</x:v>
      </x:c>
    </x:row>
    <x:row r="94" ht="90" customHeight="1">
      <x:c r="A94" s="9" t="str">
        <x:v>Fable max</x:v>
      </x:c>
      <x:c r="B94" s="9" t="str">
        <x:v>C37</x:v>
      </x:c>
      <x:c r="C94" s="9" t="str">
        <x:v>URGENT_ESCALATION</x:v>
      </x:c>
      <x:c r="D94" s="9" t="str">
        <x:v>URGENT_ESCALATION</x:v>
      </x:c>
      <x:c r="E94" s="9" t="str">
        <x:f>IF(VLOOKUP(B94,'Fable cases'!$A$8:$L$57,8,FALSE)=0,"",VLOOKUP(B94,'Fable cases'!$A$8:$L$57,7,FALSE))</x:f>
        <x:v>URGENT_ESCALATION</x:v>
      </x:c>
      <x:c r="F94" s="10" t="n">
        <x:f>VLOOKUP(B94,'Fable cases'!$A$8:$L$57,8,FALSE)</x:f>
        <x:v>1</x:v>
      </x:c>
      <x:c r="G94" s="10" t="n">
        <x:f>IF(F94=0,"excluded",IF(D94=E94,1,0))</x:f>
        <x:v>1</x:v>
      </x:c>
      <x:c r="H94" s="9" t="str">
        <x:f>VLOOKUP(B94,'Fable cases'!$A$8:$L$57,5,FALSE)</x:f>
        <x:v>URGENT_ESCALATION</x:v>
      </x:c>
      <x:c r="I94" s="10" t="n">
        <x:f>IF(D94=H94,1,0)</x:f>
        <x:v>1</x:v>
      </x:c>
      <x:c r="J94" s="9" t="str">
        <x:v>Sudden severe unilateral testicular pain with swelling and nausea is a red flag for testicular torsion, a time-critical surgical emergency requiring immediate in-person evaluation.</x:v>
      </x:c>
      <x:c r="K94" s="9" t="str">
        <x:v>Fable max C37</x:v>
      </x:c>
      <x:c r="L94" s="9" t="str">
        <x:v>Fresh three-bucket one-shot cohort</x:v>
      </x:c>
    </x:row>
    <x:row r="95" ht="90" customHeight="1">
      <x:c r="A95" s="9" t="str">
        <x:v>Fable max</x:v>
      </x:c>
      <x:c r="B95" s="9" t="str">
        <x:v>C38</x:v>
      </x:c>
      <x:c r="C95" s="9" t="str">
        <x:v>SELF_CARE</x:v>
      </x:c>
      <x:c r="D95" s="9" t="str">
        <x:v>SELF_CARE</x:v>
      </x:c>
      <x:c r="E95" s="9" t="str">
        <x:f>IF(VLOOKUP(B95,'Fable cases'!$A$8:$L$57,8,FALSE)=0,"",VLOOKUP(B95,'Fable cases'!$A$8:$L$57,7,FALSE))</x:f>
        <x:v>ASYNC_PHYSICIAN</x:v>
      </x:c>
      <x:c r="F95" s="10" t="n">
        <x:f>VLOOKUP(B95,'Fable cases'!$A$8:$L$57,8,FALSE)</x:f>
        <x:v>1</x:v>
      </x:c>
      <x:c r="G95" s="10" t="n">
        <x:f>IF(F95=0,"excluded",IF(D95=E95,1,0))</x:f>
        <x:v>0</x:v>
      </x:c>
      <x:c r="H95" s="9" t="str">
        <x:f>VLOOKUP(B95,'Fable cases'!$A$8:$L$57,5,FALSE)</x:f>
        <x:v>SELF_CARE</x:v>
      </x:c>
      <x:c r="I95" s="10" t="n">
        <x:f>IF(D95=H95,1,0)</x:f>
        <x:v>1</x:v>
      </x:c>
      <x:c r="J95" s="9" t="str">
        <x:v>Improving minor ankle sprain with a general OTC ibuprofen dosing/duration question; no red flags or prescription need. Standard self-care guidance applies (e.g., OTC label dosing with food, short-term use, seek care if worsening, unable to bear weight, or GI/renal risk factors).</x:v>
      </x:c>
      <x:c r="K95" s="9" t="str">
        <x:v>Fable max C38</x:v>
      </x:c>
      <x:c r="L95" s="9" t="str">
        <x:v>Fresh three-bucket one-shot cohort</x:v>
      </x:c>
    </x:row>
    <x:row r="96" ht="90" customHeight="1">
      <x:c r="A96" s="9" t="str">
        <x:v>Fable max</x:v>
      </x:c>
      <x:c r="B96" s="9" t="str">
        <x:v>C39</x:v>
      </x:c>
      <x:c r="C96" s="9" t="str">
        <x:v>URGENT_ESCALATION</x:v>
      </x:c>
      <x:c r="D96" s="9" t="str">
        <x:v>URGENT_ESCALATION</x:v>
      </x:c>
      <x:c r="E96" s="9" t="str">
        <x:f>IF(VLOOKUP(B96,'Fable cases'!$A$8:$L$57,8,FALSE)=0,"",VLOOKUP(B96,'Fable cases'!$A$8:$L$57,7,FALSE))</x:f>
        <x:v>URGENT_ESCALATION</x:v>
      </x:c>
      <x:c r="F96" s="10" t="n">
        <x:f>VLOOKUP(B96,'Fable cases'!$A$8:$L$57,8,FALSE)</x:f>
        <x:v>1</x:v>
      </x:c>
      <x:c r="G96" s="10" t="n">
        <x:f>IF(F96=0,"excluded",IF(D96=E96,1,0))</x:f>
        <x:v>1</x:v>
      </x:c>
      <x:c r="H96" s="9" t="str">
        <x:f>VLOOKUP(B96,'Fable cases'!$A$8:$L$57,5,FALSE)</x:f>
        <x:v>URGENT_ESCALATION</x:v>
      </x:c>
      <x:c r="I96" s="10" t="n">
        <x:f>IF(D96=H96,1,0)</x:f>
        <x:v>1</x:v>
      </x:c>
      <x:c r="J96" s="9" t="str">
        <x:v>Two weeks postpartum with thoughts of harming the infant plus detachment and persistent crying is a same-day psychiatric emergency (possible postpartum depression/psychosis); requires immediate clinical contact and safety assessment.</x:v>
      </x:c>
      <x:c r="K96" s="9" t="str">
        <x:v>Fable max C39</x:v>
      </x:c>
      <x:c r="L96" s="9" t="str">
        <x:v>Fresh three-bucket one-shot cohort</x:v>
      </x:c>
    </x:row>
    <x:row r="97" ht="90" customHeight="1">
      <x:c r="A97" s="9" t="str">
        <x:v>Fable max</x:v>
      </x:c>
      <x:c r="B97" s="9" t="str">
        <x:v>C40</x:v>
      </x:c>
      <x:c r="C97" s="9" t="str">
        <x:v>ASYNC_PHYSICIAN</x:v>
      </x:c>
      <x:c r="D97" s="9" t="str">
        <x:v>ASYNC_PHYSICIAN</x:v>
      </x:c>
      <x:c r="E97" s="9" t="str">
        <x:f>IF(VLOOKUP(B97,'Fable cases'!$A$8:$L$57,8,FALSE)=0,"",VLOOKUP(B97,'Fable cases'!$A$8:$L$57,7,FALSE))</x:f>
        <x:v>ASYNC_PHYSICIAN</x:v>
      </x:c>
      <x:c r="F97" s="10" t="n">
        <x:f>VLOOKUP(B97,'Fable cases'!$A$8:$L$57,8,FALSE)</x:f>
        <x:v>1</x:v>
      </x:c>
      <x:c r="G97" s="10" t="n">
        <x:f>IF(F97=0,"excluded",IF(D97=E97,1,0))</x:f>
        <x:v>1</x:v>
      </x:c>
      <x:c r="H97" s="9" t="str">
        <x:f>VLOOKUP(B97,'Fable cases'!$A$8:$L$57,5,FALSE)</x:f>
        <x:v>ASYNC_PHYSICIAN</x:v>
      </x:c>
      <x:c r="I97" s="10" t="n">
        <x:f>IF(D97=H97,1,0)</x:f>
        <x:v>1</x:v>
      </x:c>
      <x:c r="J97" s="9" t="str">
        <x:v>Chronic, stable low back pain without red flags (no trauma, numbness, weakness, or bowel/bladder symptoms); the request for a PT referral requires physician action but not same-day care.</x:v>
      </x:c>
      <x:c r="K97" s="9" t="str">
        <x:v>Fable max C40</x:v>
      </x:c>
      <x:c r="L97" s="9" t="str">
        <x:v>Fresh three-bucket one-shot cohort</x:v>
      </x:c>
    </x:row>
    <x:row r="98" ht="90" customHeight="1">
      <x:c r="A98" s="9" t="str">
        <x:v>Fable max</x:v>
      </x:c>
      <x:c r="B98" s="9" t="str">
        <x:v>C41</x:v>
      </x:c>
      <x:c r="C98" s="9" t="str">
        <x:v>URGENT_ESCALATION</x:v>
      </x:c>
      <x:c r="D98" s="9" t="str">
        <x:v>URGENT_ESCALATION</x:v>
      </x:c>
      <x:c r="E98" s="9" t="str">
        <x:f>IF(VLOOKUP(B98,'Fable cases'!$A$8:$L$57,8,FALSE)=0,"",VLOOKUP(B98,'Fable cases'!$A$8:$L$57,7,FALSE))</x:f>
        <x:v>URGENT_ESCALATION</x:v>
      </x:c>
      <x:c r="F98" s="10" t="n">
        <x:f>VLOOKUP(B98,'Fable cases'!$A$8:$L$57,8,FALSE)</x:f>
        <x:v>1</x:v>
      </x:c>
      <x:c r="G98" s="10" t="n">
        <x:f>IF(F98=0,"excluded",IF(D98=E98,1,0))</x:f>
        <x:v>1</x:v>
      </x:c>
      <x:c r="H98" s="9" t="str">
        <x:f>VLOOKUP(B98,'Fable cases'!$A$8:$L$57,5,FALSE)</x:f>
        <x:v>URGENT_ESCALATION</x:v>
      </x:c>
      <x:c r="I98" s="10" t="n">
        <x:f>IF(D98=H98,1,0)</x:f>
        <x:v>1</x:v>
      </x:c>
      <x:c r="J98" s="9" t="str">
        <x:v>High fever with non-blanching purple spots and lethargy in a child is a red flag for meningococcal sepsis/meningitis; requires immediate emergency care (call 911/go to ED now).</x:v>
      </x:c>
      <x:c r="K98" s="9" t="str">
        <x:v>Fable max C41</x:v>
      </x:c>
      <x:c r="L98" s="9" t="str">
        <x:v>Fresh three-bucket one-shot cohort</x:v>
      </x:c>
    </x:row>
    <x:row r="99" ht="90" customHeight="1">
      <x:c r="A99" s="9" t="str">
        <x:v>Fable max</x:v>
      </x:c>
      <x:c r="B99" s="9" t="str">
        <x:v>C42</x:v>
      </x:c>
      <x:c r="C99" s="9" t="str">
        <x:v>ASYNC_PHYSICIAN</x:v>
      </x:c>
      <x:c r="D99" s="9" t="str">
        <x:v>ASYNC_PHYSICIAN</x:v>
      </x:c>
      <x:c r="E99" s="9" t="str">
        <x:f>IF(VLOOKUP(B99,'Fable cases'!$A$8:$L$57,8,FALSE)=0,"",VLOOKUP(B99,'Fable cases'!$A$8:$L$57,7,FALSE))</x:f>
        <x:v>ASYNC_PHYSICIAN</x:v>
      </x:c>
      <x:c r="F99" s="10" t="n">
        <x:f>VLOOKUP(B99,'Fable cases'!$A$8:$L$57,8,FALSE)</x:f>
        <x:v>1</x:v>
      </x:c>
      <x:c r="G99" s="10" t="n">
        <x:f>IF(F99=0,"excluded",IF(D99=E99,1,0))</x:f>
        <x:v>1</x:v>
      </x:c>
      <x:c r="H99" s="9" t="str">
        <x:f>VLOOKUP(B99,'Fable cases'!$A$8:$L$57,5,FALSE)</x:f>
        <x:v>ASYNC_PHYSICIAN</x:v>
      </x:c>
      <x:c r="I99" s="10" t="n">
        <x:f>IF(D99=H99,1,0)</x:f>
        <x:v>1</x:v>
      </x:c>
      <x:c r="J99" s="9" t="str">
        <x:v>Classic perimenopausal symptoms at typical age with no red flags (e.g., heavy bleeding, postmenopausal bleeding, chest pain). Request to review management options, including possible hormonal or non-hormonal prescription therapy, is appropriate for non-urgent physician review rather than self-care alone.</x:v>
      </x:c>
      <x:c r="K99" s="9" t="str">
        <x:v>Fable max C42</x:v>
      </x:c>
      <x:c r="L99" s="9" t="str">
        <x:v>Fresh three-bucket one-shot cohort</x:v>
      </x:c>
    </x:row>
    <x:row r="100" ht="90" customHeight="1">
      <x:c r="A100" s="9" t="str">
        <x:v>Fable max</x:v>
      </x:c>
      <x:c r="B100" s="9" t="str">
        <x:v>C43</x:v>
      </x:c>
      <x:c r="C100" s="9" t="str">
        <x:v>URGENT_ESCALATION</x:v>
      </x:c>
      <x:c r="D100" s="9" t="str">
        <x:v>URGENT_ESCALATION</x:v>
      </x:c>
      <x:c r="E100" s="9" t="str">
        <x:f>IF(VLOOKUP(B100,'Fable cases'!$A$8:$L$57,8,FALSE)=0,"",VLOOKUP(B100,'Fable cases'!$A$8:$L$57,7,FALSE))</x:f>
        <x:v>URGENT_ESCALATION</x:v>
      </x:c>
      <x:c r="F100" s="10" t="n">
        <x:f>VLOOKUP(B100,'Fable cases'!$A$8:$L$57,8,FALSE)</x:f>
        <x:v>1</x:v>
      </x:c>
      <x:c r="G100" s="10" t="n">
        <x:f>IF(F100=0,"excluded",IF(D100=E100,1,0))</x:f>
        <x:v>1</x:v>
      </x:c>
      <x:c r="H100" s="9" t="str">
        <x:f>VLOOKUP(B100,'Fable cases'!$A$8:$L$57,5,FALSE)</x:f>
        <x:v>ASYNC_PHYSICIAN</x:v>
      </x:c>
      <x:c r="I100" s="10" t="n">
        <x:f>IF(D100=H100,1,0)</x:f>
        <x:v>0</x:v>
      </x:c>
      <x:c r="J100" s="9" t="str">
        <x:v>Three-week cough with night sweats, unintentional 10 lb weight loss, and origin from a TB-endemic country is a classic presentation for active pulmonary tuberculosis. Potentially infectious with public health implications; needs prompt same-day in-person evaluation (chest X-ray, sputum AFB testing) and airborne precautions rather than an asynchronous reply.</x:v>
      </x:c>
      <x:c r="K100" s="9" t="str">
        <x:v>Fable max C43</x:v>
      </x:c>
      <x:c r="L100" s="9" t="str">
        <x:v>Fresh three-bucket one-shot cohort</x:v>
      </x:c>
    </x:row>
    <x:row r="101" ht="90" customHeight="1">
      <x:c r="A101" s="9" t="str">
        <x:v>Fable max</x:v>
      </x:c>
      <x:c r="B101" s="9" t="str">
        <x:v>C44</x:v>
      </x:c>
      <x:c r="C101" s="9" t="str">
        <x:v>URGENT_ESCALATION</x:v>
      </x:c>
      <x:c r="D101" s="9" t="str">
        <x:v>URGENT_ESCALATION</x:v>
      </x:c>
      <x:c r="E101" s="9" t="str">
        <x:f>IF(VLOOKUP(B101,'Fable cases'!$A$8:$L$57,8,FALSE)=0,"",VLOOKUP(B101,'Fable cases'!$A$8:$L$57,7,FALSE))</x:f>
        <x:v>URGENT_ESCALATION</x:v>
      </x:c>
      <x:c r="F101" s="10" t="n">
        <x:f>VLOOKUP(B101,'Fable cases'!$A$8:$L$57,8,FALSE)</x:f>
        <x:v>1</x:v>
      </x:c>
      <x:c r="G101" s="10" t="n">
        <x:f>IF(F101=0,"excluded",IF(D101=E101,1,0))</x:f>
        <x:v>1</x:v>
      </x:c>
      <x:c r="H101" s="9" t="str">
        <x:f>VLOOKUP(B101,'Fable cases'!$A$8:$L$57,5,FALSE)</x:f>
        <x:v>ASYNC_PHYSICIAN</x:v>
      </x:c>
      <x:c r="I101" s="10" t="n">
        <x:f>IF(D101=H101,1,0)</x:f>
        <x:v>0</x:v>
      </x:c>
      <x:c r="J101" s="9" t="str">
        <x:v>68M with progressive bilateral ankle edema plus new orthopnea (must sit up to breathe) suggests decompensated heart failure; requires same-day evaluation.</x:v>
      </x:c>
      <x:c r="K101" s="9" t="str">
        <x:v>Fable max C44</x:v>
      </x:c>
      <x:c r="L101" s="9" t="str">
        <x:v>Fresh three-bucket one-shot cohort</x:v>
      </x:c>
    </x:row>
    <x:row r="102" ht="90" customHeight="1">
      <x:c r="A102" s="9" t="str">
        <x:v>Fable max</x:v>
      </x:c>
      <x:c r="B102" s="9" t="str">
        <x:v>C45</x:v>
      </x:c>
      <x:c r="C102" s="9" t="str">
        <x:v>ASYNC_PHYSICIAN</x:v>
      </x:c>
      <x:c r="D102" s="9" t="str">
        <x:v>ASYNC_PHYSICIAN</x:v>
      </x:c>
      <x:c r="E102" s="9" t="str">
        <x:f>IF(VLOOKUP(B102,'Fable cases'!$A$8:$L$57,8,FALSE)=0,"",VLOOKUP(B102,'Fable cases'!$A$8:$L$57,7,FALSE))</x:f>
        <x:v>ASYNC_PHYSICIAN</x:v>
      </x:c>
      <x:c r="F102" s="10" t="n">
        <x:f>VLOOKUP(B102,'Fable cases'!$A$8:$L$57,8,FALSE)</x:f>
        <x:v>1</x:v>
      </x:c>
      <x:c r="G102" s="10" t="n">
        <x:f>IF(F102=0,"excluded",IF(D102=E102,1,0))</x:f>
        <x:v>1</x:v>
      </x:c>
      <x:c r="H102" s="9" t="str">
        <x:f>VLOOKUP(B102,'Fable cases'!$A$8:$L$57,5,FALSE)</x:f>
        <x:v>ASYNC_PHYSICIAN</x:v>
      </x:c>
      <x:c r="I102" s="10" t="n">
        <x:f>IF(D102=H102,1,0)</x:f>
        <x:v>1</x:v>
      </x:c>
      <x:c r="J102" s="9" t="str">
        <x:v>Request to interpret an STI panel result requires clinician review of the specific value, but there are no symptoms or red flags suggesting an emergency, so an asynchronous physician response is appropriate.</x:v>
      </x:c>
      <x:c r="K102" s="9" t="str">
        <x:v>Fable max C45</x:v>
      </x:c>
      <x:c r="L102" s="9" t="str">
        <x:v>Fresh three-bucket one-shot cohort</x:v>
      </x:c>
    </x:row>
    <x:row r="103" ht="90" customHeight="1">
      <x:c r="A103" s="9" t="str">
        <x:v>Fable max</x:v>
      </x:c>
      <x:c r="B103" s="9" t="str">
        <x:v>C46</x:v>
      </x:c>
      <x:c r="C103" s="9" t="str">
        <x:v>ASYNC_PHYSICIAN</x:v>
      </x:c>
      <x:c r="D103" s="9" t="str">
        <x:v>ASYNC_PHYSICIAN</x:v>
      </x:c>
      <x:c r="E103" s="9" t="str">
        <x:f>IF(VLOOKUP(B103,'Fable cases'!$A$8:$L$57,8,FALSE)=0,"",VLOOKUP(B103,'Fable cases'!$A$8:$L$57,7,FALSE))</x:f>
        <x:v>ASYNC_PHYSICIAN</x:v>
      </x:c>
      <x:c r="F103" s="10" t="n">
        <x:f>VLOOKUP(B103,'Fable cases'!$A$8:$L$57,8,FALSE)</x:f>
        <x:v>1</x:v>
      </x:c>
      <x:c r="G103" s="10" t="n">
        <x:f>IF(F103=0,"excluded",IF(D103=E103,1,0))</x:f>
        <x:v>1</x:v>
      </x:c>
      <x:c r="H103" s="9" t="str">
        <x:f>VLOOKUP(B103,'Fable cases'!$A$8:$L$57,5,FALSE)</x:f>
        <x:v>URGENT_ESCALATION</x:v>
      </x:c>
      <x:c r="I103" s="10" t="n">
        <x:f>IF(D103=H103,1,0)</x:f>
        <x:v>0</x:v>
      </x:c>
      <x:c r="J103" s="9" t="str">
        <x:v>Routine refill request for long-term finasteride 1mg with no reported side effects; requires prescriber review but no red flags or urgency.</x:v>
      </x:c>
      <x:c r="K103" s="9" t="str">
        <x:v>Fable max C46</x:v>
      </x:c>
      <x:c r="L103" s="9" t="str">
        <x:v>Fresh three-bucket one-shot cohort</x:v>
      </x:c>
    </x:row>
    <x:row r="104" ht="90" customHeight="1">
      <x:c r="A104" s="9" t="str">
        <x:v>Fable max</x:v>
      </x:c>
      <x:c r="B104" s="9" t="str">
        <x:v>C47</x:v>
      </x:c>
      <x:c r="C104" s="9" t="str">
        <x:v>SELF_CARE</x:v>
      </x:c>
      <x:c r="D104" s="9" t="str">
        <x:v>SELF_CARE</x:v>
      </x:c>
      <x:c r="E104" s="9" t="str">
        <x:f>IF(VLOOKUP(B104,'Fable cases'!$A$8:$L$57,8,FALSE)=0,"",VLOOKUP(B104,'Fable cases'!$A$8:$L$57,7,FALSE))</x:f>
        <x:v>ASYNC_PHYSICIAN</x:v>
      </x:c>
      <x:c r="F104" s="10" t="n">
        <x:f>VLOOKUP(B104,'Fable cases'!$A$8:$L$57,8,FALSE)</x:f>
        <x:v>1</x:v>
      </x:c>
      <x:c r="G104" s="10" t="n">
        <x:f>IF(F104=0,"excluded",IF(D104=E104,1,0))</x:f>
        <x:v>0</x:v>
      </x:c>
      <x:c r="H104" s="9" t="str">
        <x:f>VLOOKUP(B104,'Fable cases'!$A$8:$L$57,5,FALSE)</x:f>
        <x:v>ASYNC_PHYSICIAN</x:v>
      </x:c>
      <x:c r="I104" s="10" t="n">
        <x:f>IF(D104=H104,1,0)</x:f>
        <x:v>0</x:v>
      </x:c>
      <x:c r="J104" s="9" t="str">
        <x:v>Subacute (~1 month) stress-related sleep-onset insomnia; patient is functioning with no red flags (no mood/safety concerns, no breathing or cardiac symptoms). First-line is sleep hygiene/CBT-I and stress management; advise physician follow-up if it persists beyond ~3 months, worsens, or low mood/hopelessness develops.</x:v>
      </x:c>
      <x:c r="K104" s="9" t="str">
        <x:v>Fable max C47</x:v>
      </x:c>
      <x:c r="L104" s="9" t="str">
        <x:v>Fresh three-bucket one-shot cohort</x:v>
      </x:c>
    </x:row>
    <x:row r="105" ht="90" customHeight="1">
      <x:c r="A105" s="9" t="str">
        <x:v>Fable max</x:v>
      </x:c>
      <x:c r="B105" s="9" t="str">
        <x:v>C48</x:v>
      </x:c>
      <x:c r="C105" s="9" t="str">
        <x:v>URGENT_ESCALATION</x:v>
      </x:c>
      <x:c r="D105" s="9" t="str">
        <x:v>URGENT_ESCALATION</x:v>
      </x:c>
      <x:c r="E105" s="9" t="str">
        <x:f>IF(VLOOKUP(B105,'Fable cases'!$A$8:$L$57,8,FALSE)=0,"",VLOOKUP(B105,'Fable cases'!$A$8:$L$57,7,FALSE))</x:f>
        <x:v>URGENT_ESCALATION</x:v>
      </x:c>
      <x:c r="F105" s="10" t="n">
        <x:f>VLOOKUP(B105,'Fable cases'!$A$8:$L$57,8,FALSE)</x:f>
        <x:v>1</x:v>
      </x:c>
      <x:c r="G105" s="10" t="n">
        <x:f>IF(F105=0,"excluded",IF(D105=E105,1,0))</x:f>
        <x:v>1</x:v>
      </x:c>
      <x:c r="H105" s="9" t="str">
        <x:f>VLOOKUP(B105,'Fable cases'!$A$8:$L$57,5,FALSE)</x:f>
        <x:v>URGENT_ESCALATION</x:v>
      </x:c>
      <x:c r="I105" s="10" t="n">
        <x:f>IF(D105=H105,1,0)</x:f>
        <x:v>1</x:v>
      </x:c>
      <x:c r="J105" s="9" t="str">
        <x:v>71-year-old with fall, severe hip pain, and inability to bear weight—high suspicion for hip fracture requiring same-day imaging and emergency evaluation.</x:v>
      </x:c>
      <x:c r="K105" s="9" t="str">
        <x:v>Fable max C48</x:v>
      </x:c>
      <x:c r="L105" s="9" t="str">
        <x:v>Fresh three-bucket one-shot cohort</x:v>
      </x:c>
    </x:row>
    <x:row r="106" ht="90" customHeight="1">
      <x:c r="A106" s="9" t="str">
        <x:v>Fable max</x:v>
      </x:c>
      <x:c r="B106" s="9" t="str">
        <x:v>C49</x:v>
      </x:c>
      <x:c r="C106" s="9" t="str">
        <x:v>ASYNC_PHYSICIAN</x:v>
      </x:c>
      <x:c r="D106" s="9" t="str">
        <x:v>ASYNC_PHYSICIAN</x:v>
      </x:c>
      <x:c r="E106" s="9" t="str">
        <x:f>IF(VLOOKUP(B106,'Fable cases'!$A$8:$L$57,8,FALSE)=0,"",VLOOKUP(B106,'Fable cases'!$A$8:$L$57,7,FALSE))</x:f>
        <x:v>URGENT_ESCALATION</x:v>
      </x:c>
      <x:c r="F106" s="10" t="n">
        <x:f>VLOOKUP(B106,'Fable cases'!$A$8:$L$57,8,FALSE)</x:f>
        <x:v>1</x:v>
      </x:c>
      <x:c r="G106" s="10" t="n">
        <x:f>IF(F106=0,"excluded",IF(D106=E106,1,0))</x:f>
        <x:v>0</x:v>
      </x:c>
      <x:c r="H106" s="9" t="str">
        <x:f>VLOOKUP(B106,'Fable cases'!$A$8:$L$57,5,FALSE)</x:f>
        <x:v>ASYNC_PHYSICIAN</x:v>
      </x:c>
      <x:c r="I106" s="10" t="n">
        <x:f>IF(D106=H106,1,0)</x:f>
        <x:v>1</x:v>
      </x:c>
      <x:c r="J106" s="9" t="str">
        <x:v>Likely musculoskeletal strain after chest workout (young, non-smoker, no dyspnea, no leg swelling, pain reproducible with breathing), but new chest pain warrants physician review; escalate immediately if shortness of breath, syncope, or worsening pain develops.</x:v>
      </x:c>
      <x:c r="K106" s="9" t="str">
        <x:v>Fable max C49</x:v>
      </x:c>
      <x:c r="L106" s="9" t="str">
        <x:v>Fresh three-bucket one-shot cohort</x:v>
      </x:c>
    </x:row>
    <x:row r="107" ht="90" customHeight="1">
      <x:c r="A107" s="9" t="str">
        <x:v>Fable max</x:v>
      </x:c>
      <x:c r="B107" s="9" t="str">
        <x:v>C50</x:v>
      </x:c>
      <x:c r="C107" s="9" t="str">
        <x:v>ASYNC_PHYSICIAN</x:v>
      </x:c>
      <x:c r="D107" s="9" t="str">
        <x:v>ASYNC_PHYSICIAN</x:v>
      </x:c>
      <x:c r="E107" s="9" t="str">
        <x:f>IF(VLOOKUP(B107,'Fable cases'!$A$8:$L$57,8,FALSE)=0,"",VLOOKUP(B107,'Fable cases'!$A$8:$L$57,7,FALSE))</x:f>
        <x:v>ASYNC_PHYSICIAN</x:v>
      </x:c>
      <x:c r="F107" s="10" t="n">
        <x:f>VLOOKUP(B107,'Fable cases'!$A$8:$L$57,8,FALSE)</x:f>
        <x:v>1</x:v>
      </x:c>
      <x:c r="G107" s="10" t="n">
        <x:f>IF(F107=0,"excluded",IF(D107=E107,1,0))</x:f>
        <x:v>1</x:v>
      </x:c>
      <x:c r="H107" s="9" t="str">
        <x:f>VLOOKUP(B107,'Fable cases'!$A$8:$L$57,5,FALSE)</x:f>
        <x:v>ASYNC_PHYSICIAN</x:v>
      </x:c>
      <x:c r="I107" s="10" t="n">
        <x:f>IF(D107=H107,1,0)</x:f>
        <x:v>1</x:v>
      </x:c>
      <x:c r="J107" s="9" t="str">
        <x:v>Refill request for sumatriptan for a typical, recurrent migraine matching the patient's usual pattern; no red flags (no thunderclap onset, neuro deficits, fever/stiff neck, or new/worst headache) reported.</x:v>
      </x:c>
      <x:c r="K107" s="9" t="str">
        <x:v>Fable max C50</x:v>
      </x:c>
      <x:c r="L107" s="9" t="str">
        <x:v>Fresh three-bucket one-shot cohort</x:v>
      </x:c>
    </x:row>
    <x:row r="108" ht="90" customHeight="1">
      <x:c r="A108" s="9" t="str">
        <x:v>Five-way collapsed</x:v>
      </x:c>
      <x:c r="B108" s="9" t="str">
        <x:v>C01</x:v>
      </x:c>
      <x:c r="C108" s="9" t="str">
        <x:v>SELF_CARE</x:v>
      </x:c>
      <x:c r="D108" s="9" t="str">
        <x:v>SELF_CARE</x:v>
      </x:c>
      <x:c r="E108" s="9" t="str">
        <x:f>IF(VLOOKUP(B108,'Fable cases'!$A$8:$L$57,8,FALSE)=0,"",VLOOKUP(B108,'Fable cases'!$A$8:$L$57,7,FALSE))</x:f>
        <x:v>SELF_CARE</x:v>
      </x:c>
      <x:c r="F108" s="10" t="n">
        <x:f>VLOOKUP(B108,'Fable cases'!$A$8:$L$57,8,FALSE)</x:f>
        <x:v>1</x:v>
      </x:c>
      <x:c r="G108" s="10" t="n">
        <x:f>IF(F108=0,"excluded",IF(D108=E108,1,0))</x:f>
        <x:v>1</x:v>
      </x:c>
      <x:c r="H108" s="9" t="str">
        <x:f>VLOOKUP(B108,'Fable cases'!$A$8:$L$57,5,FALSE)</x:f>
        <x:v>SELF_CARE</x:v>
      </x:c>
      <x:c r="I108" s="10" t="n">
        <x:f>IF(D108=H108,1,0)</x:f>
        <x:v>1</x:v>
      </x:c>
      <x:c r="J108" s="9" t="str">
        <x:v>Mild, short-duration upper respiratory symptoms with no fever, normal intake, and no red flags; supportive self-care and monitoring are appropriate without clinician involvement now.</x:v>
      </x:c>
      <x:c r="K108" s="9" t="str">
        <x:v>Five-way collapsed C01</x:v>
      </x:c>
      <x:c r="L108" s="9" t="str">
        <x:v>Historical five-route outputs collapsed to three buckets</x:v>
      </x:c>
    </x:row>
    <x:row r="109" ht="90" customHeight="1">
      <x:c r="A109" s="9" t="str">
        <x:v>Five-way collapsed</x:v>
      </x:c>
      <x:c r="B109" s="9" t="str">
        <x:v>C02</x:v>
      </x:c>
      <x:c r="C109" s="9" t="str">
        <x:v>EMERGENCY_NOW</x:v>
      </x:c>
      <x:c r="D109" s="9" t="str">
        <x:v>URGENT_ESCALATION</x:v>
      </x:c>
      <x:c r="E109" s="9" t="str">
        <x:f>IF(VLOOKUP(B109,'Fable cases'!$A$8:$L$57,8,FALSE)=0,"",VLOOKUP(B109,'Fable cases'!$A$8:$L$57,7,FALSE))</x:f>
        <x:v>URGENT_ESCALATION</x:v>
      </x:c>
      <x:c r="F109" s="10" t="n">
        <x:f>VLOOKUP(B109,'Fable cases'!$A$8:$L$57,8,FALSE)</x:f>
        <x:v>1</x:v>
      </x:c>
      <x:c r="G109" s="10" t="n">
        <x:f>IF(F109=0,"excluded",IF(D109=E109,1,0))</x:f>
        <x:v>1</x:v>
      </x:c>
      <x:c r="H109" s="9" t="str">
        <x:f>VLOOKUP(B109,'Fable cases'!$A$8:$L$57,5,FALSE)</x:f>
        <x:v>URGENT_ESCALATION</x:v>
      </x:c>
      <x:c r="I109" s="10" t="n">
        <x:f>IF(D109=H109,1,0)</x:f>
        <x:v>1</x:v>
      </x:c>
      <x:c r="J109" s="9" t="str">
        <x:v>Crushing central chest pressure for 30 minutes with radiation to the left arm, diaphoresis, and nausea in a 45-year-old male with hyperlipidemia is a classic acute coronary syndrome presentation requiring immediate emergency services activation.</x:v>
      </x:c>
      <x:c r="K109" s="9" t="str">
        <x:v>Five-way collapsed C02</x:v>
      </x:c>
      <x:c r="L109" s="9" t="str">
        <x:v>Historical five-route outputs collapsed to three buckets</x:v>
      </x:c>
    </x:row>
    <x:row r="110" ht="90" customHeight="1">
      <x:c r="A110" s="9" t="str">
        <x:v>Five-way collapsed</x:v>
      </x:c>
      <x:c r="B110" s="9" t="str">
        <x:v>C03</x:v>
      </x:c>
      <x:c r="C110" s="9" t="str">
        <x:v>PRIORITY_ASYNC</x:v>
      </x:c>
      <x:c r="D110" s="9" t="str">
        <x:v>ASYNC_PHYSICIAN</x:v>
      </x:c>
      <x:c r="E110" s="9" t="str">
        <x:f>IF(VLOOKUP(B110,'Fable cases'!$A$8:$L$57,8,FALSE)=0,"",VLOOKUP(B110,'Fable cases'!$A$8:$L$57,7,FALSE))</x:f>
        <x:v>ASYNC_PHYSICIAN</x:v>
      </x:c>
      <x:c r="F110" s="10" t="n">
        <x:f>VLOOKUP(B110,'Fable cases'!$A$8:$L$57,8,FALSE)</x:f>
        <x:v>1</x:v>
      </x:c>
      <x:c r="G110" s="10" t="n">
        <x:f>IF(F110=0,"excluded",IF(D110=E110,1,0))</x:f>
        <x:v>1</x:v>
      </x:c>
      <x:c r="H110" s="9" t="str">
        <x:f>VLOOKUP(B110,'Fable cases'!$A$8:$L$57,5,FALSE)</x:f>
        <x:v>ASYNC_PHYSICIAN</x:v>
      </x:c>
      <x:c r="I110" s="10" t="n">
        <x:f>IF(D110=H110,1,0)</x:f>
        <x:v>1</x:v>
      </x:c>
      <x:c r="J110" s="9" t="str">
        <x:v>Classic uncomplicated lower UTI in a non-pregnant woman with prior similar episodes, no fever or flank pain suggesting pyelonephritis. Symptomatic and needs timely clinician review for antibiotic prescribing, but does not require in-person evaluation.</x:v>
      </x:c>
      <x:c r="K110" s="9" t="str">
        <x:v>Five-way collapsed C03</x:v>
      </x:c>
      <x:c r="L110" s="9" t="str">
        <x:v>Historical five-route outputs collapsed to three buckets</x:v>
      </x:c>
    </x:row>
    <x:row r="111" ht="90" customHeight="1">
      <x:c r="A111" s="9" t="str">
        <x:v>Five-way collapsed</x:v>
      </x:c>
      <x:c r="B111" s="9" t="str">
        <x:v>C04</x:v>
      </x:c>
      <x:c r="C111" s="9" t="str">
        <x:v>SAME_DAY_IN_PERSON</x:v>
      </x:c>
      <x:c r="D111" s="9" t="str">
        <x:v>URGENT_ESCALATION</x:v>
      </x:c>
      <x:c r="E111" s="9" t="str">
        <x:f>IF(VLOOKUP(B111,'Fable cases'!$A$8:$L$57,8,FALSE)=0,"",VLOOKUP(B111,'Fable cases'!$A$8:$L$57,7,FALSE))</x:f>
        <x:v>URGENT_ESCALATION</x:v>
      </x:c>
      <x:c r="F111" s="10" t="n">
        <x:f>VLOOKUP(B111,'Fable cases'!$A$8:$L$57,8,FALSE)</x:f>
        <x:v>1</x:v>
      </x:c>
      <x:c r="G111" s="10" t="n">
        <x:f>IF(F111=0,"excluded",IF(D111=E111,1,0))</x:f>
        <x:v>1</x:v>
      </x:c>
      <x:c r="H111" s="9" t="str">
        <x:f>VLOOKUP(B111,'Fable cases'!$A$8:$L$57,5,FALSE)</x:f>
        <x:v>ASYNC_PHYSICIAN</x:v>
      </x:c>
      <x:c r="I111" s="10" t="n">
        <x:f>IF(D111=H111,1,0)</x:f>
        <x:v>0</x:v>
      </x:c>
      <x:c r="J111" s="9" t="str">
        <x:v>Diabetic patient with a 4-day-old plantar foot wound showing spreading erythema, swelling, and tenderness indicates a developing diabetic foot infection. These wounds carry high risk of rapid progression to deep tissue infection, osteomyelitis, and limb loss, and require same-day in-person wound inspection, probing, possible imaging/cultures, and antibiotic initiation. Absence of fever does not exclude serious infection in diabetics.</x:v>
      </x:c>
      <x:c r="K111" s="9" t="str">
        <x:v>Five-way collapsed C04</x:v>
      </x:c>
      <x:c r="L111" s="9" t="str">
        <x:v>Historical five-route outputs collapsed to three buckets</x:v>
      </x:c>
    </x:row>
    <x:row r="112" ht="90" customHeight="1">
      <x:c r="A112" s="9" t="str">
        <x:v>Five-way collapsed</x:v>
      </x:c>
      <x:c r="B112" s="9" t="str">
        <x:v>C05</x:v>
      </x:c>
      <x:c r="C112" s="9" t="str">
        <x:v>SAME_DAY_IN_PERSON</x:v>
      </x:c>
      <x:c r="D112" s="9" t="str">
        <x:v>URGENT_ESCALATION</x:v>
      </x:c>
      <x:c r="E112" s="9" t="str">
        <x:f>IF(VLOOKUP(B112,'Fable cases'!$A$8:$L$57,8,FALSE)=0,"",VLOOKUP(B112,'Fable cases'!$A$8:$L$57,7,FALSE))</x:f>
        <x:v>URGENT_ESCALATION</x:v>
      </x:c>
      <x:c r="F112" s="10" t="n">
        <x:f>VLOOKUP(B112,'Fable cases'!$A$8:$L$57,8,FALSE)</x:f>
        <x:v>1</x:v>
      </x:c>
      <x:c r="G112" s="10" t="n">
        <x:f>IF(F112=0,"excluded",IF(D112=E112,1,0))</x:f>
        <x:v>1</x:v>
      </x:c>
      <x:c r="H112" s="9" t="str">
        <x:f>VLOOKUP(B112,'Fable cases'!$A$8:$L$57,5,FALSE)</x:f>
        <x:v>URGENT_ESCALATION</x:v>
      </x:c>
      <x:c r="I112" s="10" t="n">
        <x:f>IF(D112=H112,1,0)</x:f>
        <x:v>1</x:v>
      </x:c>
      <x:c r="J112" s="9" t="str">
        <x:v>Weeks of hopelessness with new passive suicidal ideation ('everyone would be better off without me') is a red-flag symptom requiring same-day in-person mental health evaluation and safety assessment. No stated active plan, intent, or imminent means to warrant emergency activation, but this exceeds what async review can safely handle.</x:v>
      </x:c>
      <x:c r="K112" s="9" t="str">
        <x:v>Five-way collapsed C05</x:v>
      </x:c>
      <x:c r="L112" s="9" t="str">
        <x:v>Historical five-route outputs collapsed to three buckets</x:v>
      </x:c>
    </x:row>
    <x:row r="113" ht="90" customHeight="1">
      <x:c r="A113" s="9" t="str">
        <x:v>Five-way collapsed</x:v>
      </x:c>
      <x:c r="B113" s="9" t="str">
        <x:v>C06</x:v>
      </x:c>
      <x:c r="C113" s="9" t="str">
        <x:v>PRIORITY_ASYNC</x:v>
      </x:c>
      <x:c r="D113" s="9" t="str">
        <x:v>ASYNC_PHYSICIAN</x:v>
      </x:c>
      <x:c r="E113" s="9" t="str">
        <x:f>IF(VLOOKUP(B113,'Fable cases'!$A$8:$L$57,8,FALSE)=0,"",VLOOKUP(B113,'Fable cases'!$A$8:$L$57,7,FALSE))</x:f>
        <x:v>ASYNC_PHYSICIAN</x:v>
      </x:c>
      <x:c r="F113" s="10" t="n">
        <x:f>VLOOKUP(B113,'Fable cases'!$A$8:$L$57,8,FALSE)</x:f>
        <x:v>1</x:v>
      </x:c>
      <x:c r="G113" s="10" t="n">
        <x:f>IF(F113=0,"excluded",IF(D113=E113,1,0))</x:f>
        <x:v>1</x:v>
      </x:c>
      <x:c r="H113" s="9" t="str">
        <x:f>VLOOKUP(B113,'Fable cases'!$A$8:$L$57,5,FALSE)</x:f>
        <x:v>URGENT_ESCALATION</x:v>
      </x:c>
      <x:c r="I113" s="10" t="n">
        <x:f>IF(D113=H113,1,0)</x:f>
        <x:v>0</x:v>
      </x:c>
      <x:c r="J113" s="9" t="str">
        <x:v>Routine refill request for a chronic antihypertensive with stable, well-controlled home BP and no new symptoms; requires time-sensitive async clinician review for prescribing to avoid therapy lapse.</x:v>
      </x:c>
      <x:c r="K113" s="9" t="str">
        <x:v>Five-way collapsed C06</x:v>
      </x:c>
      <x:c r="L113" s="9" t="str">
        <x:v>Historical five-route outputs collapsed to three buckets</x:v>
      </x:c>
    </x:row>
    <x:row r="114" ht="90" customHeight="1">
      <x:c r="A114" s="9" t="str">
        <x:v>Five-way collapsed</x:v>
      </x:c>
      <x:c r="B114" s="9" t="str">
        <x:v>C07</x:v>
      </x:c>
      <x:c r="C114" s="9" t="str">
        <x:v>STANDARD_ASYNC</x:v>
      </x:c>
      <x:c r="D114" s="9" t="str">
        <x:v>ASYNC_PHYSICIAN</x:v>
      </x:c>
      <x:c r="E114" s="9" t="str">
        <x:f>IF(VLOOKUP(B114,'Fable cases'!$A$8:$L$57,8,FALSE)=0,"",VLOOKUP(B114,'Fable cases'!$A$8:$L$57,7,FALSE))</x:f>
        <x:v>ASYNC_PHYSICIAN</x:v>
      </x:c>
      <x:c r="F114" s="10" t="n">
        <x:f>VLOOKUP(B114,'Fable cases'!$A$8:$L$57,8,FALSE)</x:f>
        <x:v>1</x:v>
      </x:c>
      <x:c r="G114" s="10" t="n">
        <x:f>IF(F114=0,"excluded",IF(D114=E114,1,0))</x:f>
        <x:v>1</x:v>
      </x:c>
      <x:c r="H114" s="9" t="str">
        <x:f>VLOOKUP(B114,'Fable cases'!$A$8:$L$57,5,FALSE)</x:f>
        <x:v>ASYNC_PHYSICIAN</x:v>
      </x:c>
      <x:c r="I114" s="10" t="n">
        <x:f>IF(D114=H114,1,0)</x:f>
        <x:v>1</x:v>
      </x:c>
      <x:c r="J114" s="9" t="str">
        <x:v>A 3-year-old with 2 days of fever to 102F who is well-hydrated, playful between fevers, and without rash has no red flags requiring urgent or in-person evaluation today. Routine asynchronous clinician review is appropriate to advise on antipyretic dosing, hydration, and criteria for escalation (e.g., fever beyond 5 days, poor fluid intake, decreased urine output, lethargy, rash, or difficulty breathing).</x:v>
      </x:c>
      <x:c r="K114" s="9" t="str">
        <x:v>Five-way collapsed C07</x:v>
      </x:c>
      <x:c r="L114" s="9" t="str">
        <x:v>Historical five-route outputs collapsed to three buckets</x:v>
      </x:c>
    </x:row>
    <x:row r="115" ht="90" customHeight="1">
      <x:c r="A115" s="9" t="str">
        <x:v>Five-way collapsed</x:v>
      </x:c>
      <x:c r="B115" s="9" t="str">
        <x:v>C08</x:v>
      </x:c>
      <x:c r="C115" s="9" t="str">
        <x:v>EMERGENCY_NOW</x:v>
      </x:c>
      <x:c r="D115" s="9" t="str">
        <x:v>URGENT_ESCALATION</x:v>
      </x:c>
      <x:c r="E115" s="9" t="str">
        <x:f>IF(VLOOKUP(B115,'Fable cases'!$A$8:$L$57,8,FALSE)=0,"",VLOOKUP(B115,'Fable cases'!$A$8:$L$57,7,FALSE))</x:f>
        <x:v>URGENT_ESCALATION</x:v>
      </x:c>
      <x:c r="F115" s="10" t="n">
        <x:f>VLOOKUP(B115,'Fable cases'!$A$8:$L$57,8,FALSE)</x:f>
        <x:v>1</x:v>
      </x:c>
      <x:c r="G115" s="10" t="n">
        <x:f>IF(F115=0,"excluded",IF(D115=E115,1,0))</x:f>
        <x:v>1</x:v>
      </x:c>
      <x:c r="H115" s="9" t="str">
        <x:f>VLOOKUP(B115,'Fable cases'!$A$8:$L$57,5,FALSE)</x:f>
        <x:v>ASYNC_PHYSICIAN</x:v>
      </x:c>
      <x:c r="I115" s="10" t="n">
        <x:f>IF(D115=H115,1,0)</x:f>
        <x:v>0</x:v>
      </x:c>
      <x:c r="J115" s="9" t="str">
        <x:v>Sudden thunderclap headache described as worst of life with onset at rest and new neck stiffness is a classic presentation for subarachnoid hemorrhage/meningeal irritation; requires immediate emergency evaluation with imaging.</x:v>
      </x:c>
      <x:c r="K115" s="9" t="str">
        <x:v>Five-way collapsed C08</x:v>
      </x:c>
      <x:c r="L115" s="9" t="str">
        <x:v>Historical five-route outputs collapsed to three buckets</x:v>
      </x:c>
    </x:row>
    <x:row r="116" ht="90" customHeight="1">
      <x:c r="A116" s="9" t="str">
        <x:v>Five-way collapsed</x:v>
      </x:c>
      <x:c r="B116" s="9" t="str">
        <x:v>C09</x:v>
      </x:c>
      <x:c r="C116" s="9" t="str">
        <x:v>EMERGENCY_NOW</x:v>
      </x:c>
      <x:c r="D116" s="9" t="str">
        <x:v>URGENT_ESCALATION</x:v>
      </x:c>
      <x:c r="E116" s="9" t="str">
        <x:f>IF(VLOOKUP(B116,'Fable cases'!$A$8:$L$57,8,FALSE)=0,"",VLOOKUP(B116,'Fable cases'!$A$8:$L$57,7,FALSE))</x:f>
        <x:v>URGENT_ESCALATION</x:v>
      </x:c>
      <x:c r="F116" s="10" t="n">
        <x:f>VLOOKUP(B116,'Fable cases'!$A$8:$L$57,8,FALSE)</x:f>
        <x:v>1</x:v>
      </x:c>
      <x:c r="G116" s="10" t="n">
        <x:f>IF(F116=0,"excluded",IF(D116=E116,1,0))</x:f>
        <x:v>1</x:v>
      </x:c>
      <x:c r="H116" s="9" t="str">
        <x:f>VLOOKUP(B116,'Fable cases'!$A$8:$L$57,5,FALSE)</x:f>
        <x:v>URGENT_ESCALATION</x:v>
      </x:c>
      <x:c r="I116" s="10" t="n">
        <x:f>IF(D116=H116,1,0)</x:f>
        <x:v>1</x:v>
      </x:c>
      <x:c r="J116" s="9" t="str">
        <x:v>32 weeks pregnant with persistent severe headache, visual disturbance, and facial/hand edema — classic features of severe preeclampsia with risk of eclampsia, stroke, and HELLP. Requires immediate emergency obstetric evaluation, not async review.</x:v>
      </x:c>
      <x:c r="K116" s="9" t="str">
        <x:v>Five-way collapsed C09</x:v>
      </x:c>
      <x:c r="L116" s="9" t="str">
        <x:v>Historical five-route outputs collapsed to three buckets</x:v>
      </x:c>
    </x:row>
    <x:row r="117" ht="90" customHeight="1">
      <x:c r="A117" s="9" t="str">
        <x:v>Five-way collapsed</x:v>
      </x:c>
      <x:c r="B117" s="9" t="str">
        <x:v>C10</x:v>
      </x:c>
      <x:c r="C117" s="9" t="str">
        <x:v>STANDARD_ASYNC</x:v>
      </x:c>
      <x:c r="D117" s="9" t="str">
        <x:v>ASYNC_PHYSICIAN</x:v>
      </x:c>
      <x:c r="E117" s="9" t="str">
        <x:f>IF(VLOOKUP(B117,'Fable cases'!$A$8:$L$57,8,FALSE)=0,"",VLOOKUP(B117,'Fable cases'!$A$8:$L$57,7,FALSE))</x:f>
        <x:v>ASYNC_PHYSICIAN</x:v>
      </x:c>
      <x:c r="F117" s="10" t="n">
        <x:f>VLOOKUP(B117,'Fable cases'!$A$8:$L$57,8,FALSE)</x:f>
        <x:v>1</x:v>
      </x:c>
      <x:c r="G117" s="10" t="n">
        <x:f>IF(F117=0,"excluded",IF(D117=E117,1,0))</x:f>
        <x:v>1</x:v>
      </x:c>
      <x:c r="H117" s="9" t="str">
        <x:f>VLOOKUP(B117,'Fable cases'!$A$8:$L$57,5,FALSE)</x:f>
        <x:v>ASYNC_PHYSICIAN</x:v>
      </x:c>
      <x:c r="I117" s="10" t="n">
        <x:f>IF(D117=H117,1,0)</x:f>
        <x:v>1</x:v>
      </x:c>
      <x:c r="J117" s="9" t="str">
        <x:v>Intermittent postprandial right upper quadrant pain over weeks without fever, jaundice, or acute severe pain suggests uncomplicated biliary colic; routine async review for evaluation and ultrasound ordering is appropriate.</x:v>
      </x:c>
      <x:c r="K117" s="9" t="str">
        <x:v>Five-way collapsed C10</x:v>
      </x:c>
      <x:c r="L117" s="9" t="str">
        <x:v>Historical five-route outputs collapsed to three buckets</x:v>
      </x:c>
    </x:row>
    <x:row r="118" ht="90" customHeight="1">
      <x:c r="A118" s="9" t="str">
        <x:v>Five-way collapsed</x:v>
      </x:c>
      <x:c r="B118" s="9" t="str">
        <x:v>C11</x:v>
      </x:c>
      <x:c r="C118" s="9" t="str">
        <x:v>SELF_CARE</x:v>
      </x:c>
      <x:c r="D118" s="9" t="str">
        <x:v>SELF_CARE</x:v>
      </x:c>
      <x:c r="E118" s="9" t="str">
        <x:f>IF(VLOOKUP(B118,'Fable cases'!$A$8:$L$57,8,FALSE)=0,"",VLOOKUP(B118,'Fable cases'!$A$8:$L$57,7,FALSE))</x:f>
        <x:v>SELF_CARE</x:v>
      </x:c>
      <x:c r="F118" s="10" t="n">
        <x:f>VLOOKUP(B118,'Fable cases'!$A$8:$L$57,8,FALSE)</x:f>
        <x:v>1</x:v>
      </x:c>
      <x:c r="G118" s="10" t="n">
        <x:f>IF(F118=0,"excluded",IF(D118=E118,1,0))</x:f>
        <x:v>1</x:v>
      </x:c>
      <x:c r="H118" s="9" t="str">
        <x:f>VLOOKUP(B118,'Fable cases'!$A$8:$L$57,5,FALSE)</x:f>
        <x:v>URGENT_ESCALATION</x:v>
      </x:c>
      <x:c r="I118" s="10" t="n">
        <x:f>IF(D118=H118,1,0)</x:f>
        <x:v>0</x:v>
      </x:c>
      <x:c r="J118" s="9" t="str">
        <x:v>Localized, non-spreading itchy rash after likely plant/contact exposure, with no systemic or airway symptoms. Suitable for self-care with OTC antihistamine or topical hydrocortisone and monitoring for spread or worsening.</x:v>
      </x:c>
      <x:c r="K118" s="9" t="str">
        <x:v>Five-way collapsed C11</x:v>
      </x:c>
      <x:c r="L118" s="9" t="str">
        <x:v>Historical five-route outputs collapsed to three buckets</x:v>
      </x:c>
    </x:row>
    <x:row r="119" ht="90" customHeight="1">
      <x:c r="A119" s="9" t="str">
        <x:v>Five-way collapsed</x:v>
      </x:c>
      <x:c r="B119" s="9" t="str">
        <x:v>C12</x:v>
      </x:c>
      <x:c r="C119" s="9" t="str">
        <x:v>SAME_DAY_IN_PERSON</x:v>
      </x:c>
      <x:c r="D119" s="9" t="str">
        <x:v>URGENT_ESCALATION</x:v>
      </x:c>
      <x:c r="E119" s="9" t="str">
        <x:f>IF(VLOOKUP(B119,'Fable cases'!$A$8:$L$57,8,FALSE)=0,"",VLOOKUP(B119,'Fable cases'!$A$8:$L$57,7,FALSE))</x:f>
        <x:v>URGENT_ESCALATION</x:v>
      </x:c>
      <x:c r="F119" s="10" t="n">
        <x:f>VLOOKUP(B119,'Fable cases'!$A$8:$L$57,8,FALSE)</x:f>
        <x:v>1</x:v>
      </x:c>
      <x:c r="G119" s="10" t="n">
        <x:f>IF(F119=0,"excluded",IF(D119=E119,1,0))</x:f>
        <x:v>1</x:v>
      </x:c>
      <x:c r="H119" s="9" t="str">
        <x:f>VLOOKUP(B119,'Fable cases'!$A$8:$L$57,5,FALSE)</x:f>
        <x:v>ASYNC_PHYSICIAN</x:v>
      </x:c>
      <x:c r="I119" s="10" t="n">
        <x:f>IF(D119=H119,1,0)</x:f>
        <x:v>0</x:v>
      </x:c>
      <x:c r="J119" s="9" t="str">
        <x:v>68-year-old with COPD reporting 2 days of progressive dyspnea now occurring with minimal exertion (walking to bathroom) plus purulent green sputum — findings consistent with an acute COPD exacerbation, likely infective. Needs same-day in-person assessment with oxygen saturation measurement, lung exam, and consideration of steroids/antibiotics; this exceeds what async review can safely manage, but she is not describing frank respiratory failure (no confusion, cyanosis, or inability to speak) requiring immediate emergency activation.</x:v>
      </x:c>
      <x:c r="K119" s="9" t="str">
        <x:v>Five-way collapsed C12</x:v>
      </x:c>
      <x:c r="L119" s="9" t="str">
        <x:v>Historical five-route outputs collapsed to three buckets</x:v>
      </x:c>
    </x:row>
    <x:row r="120" ht="90" customHeight="1">
      <x:c r="A120" s="9" t="str">
        <x:v>Five-way collapsed</x:v>
      </x:c>
      <x:c r="B120" s="9" t="str">
        <x:v>C13</x:v>
      </x:c>
      <x:c r="C120" s="9" t="str">
        <x:v>STANDARD_ASYNC</x:v>
      </x:c>
      <x:c r="D120" s="9" t="str">
        <x:v>ASYNC_PHYSICIAN</x:v>
      </x:c>
      <x:c r="E120" s="9" t="str">
        <x:f>IF(VLOOKUP(B120,'Fable cases'!$A$8:$L$57,8,FALSE)=0,"",VLOOKUP(B120,'Fable cases'!$A$8:$L$57,7,FALSE))</x:f>
        <x:v>ASYNC_PHYSICIAN</x:v>
      </x:c>
      <x:c r="F120" s="10" t="n">
        <x:f>VLOOKUP(B120,'Fable cases'!$A$8:$L$57,8,FALSE)</x:f>
        <x:v>1</x:v>
      </x:c>
      <x:c r="G120" s="10" t="n">
        <x:f>IF(F120=0,"excluded",IF(D120=E120,1,0))</x:f>
        <x:v>1</x:v>
      </x:c>
      <x:c r="H120" s="9" t="str">
        <x:f>VLOOKUP(B120,'Fable cases'!$A$8:$L$57,5,FALSE)</x:f>
        <x:v>ASYNC_PHYSICIAN</x:v>
      </x:c>
      <x:c r="I120" s="10" t="n">
        <x:f>IF(D120=H120,1,0)</x:f>
        <x:v>1</x:v>
      </x:c>
      <x:c r="J120" s="9" t="str">
        <x:v>Several days of unilateral hand numbness/tingling worse at night suggests a peripheral compressive neuropathy (e.g., carpal tunnel) rather than acute stroke; no weakness, facial droop, or speech change reported. Routine async clinician review for evaluation and management is appropriate.</x:v>
      </x:c>
      <x:c r="K120" s="9" t="str">
        <x:v>Five-way collapsed C13</x:v>
      </x:c>
      <x:c r="L120" s="9" t="str">
        <x:v>Historical five-route outputs collapsed to three buckets</x:v>
      </x:c>
    </x:row>
    <x:row r="121" ht="90" customHeight="1">
      <x:c r="A121" s="9" t="str">
        <x:v>Five-way collapsed</x:v>
      </x:c>
      <x:c r="B121" s="9" t="str">
        <x:v>C14</x:v>
      </x:c>
      <x:c r="C121" s="9" t="str">
        <x:v>EMERGENCY_NOW</x:v>
      </x:c>
      <x:c r="D121" s="9" t="str">
        <x:v>URGENT_ESCALATION</x:v>
      </x:c>
      <x:c r="E121" s="9" t="str">
        <x:f>IF(VLOOKUP(B121,'Fable cases'!$A$8:$L$57,8,FALSE)=0,"",VLOOKUP(B121,'Fable cases'!$A$8:$L$57,7,FALSE))</x:f>
        <x:v>URGENT_ESCALATION</x:v>
      </x:c>
      <x:c r="F121" s="10" t="n">
        <x:f>VLOOKUP(B121,'Fable cases'!$A$8:$L$57,8,FALSE)</x:f>
        <x:v>1</x:v>
      </x:c>
      <x:c r="G121" s="10" t="n">
        <x:f>IF(F121=0,"excluded",IF(D121=E121,1,0))</x:f>
        <x:v>1</x:v>
      </x:c>
      <x:c r="H121" s="9" t="str">
        <x:f>VLOOKUP(B121,'Fable cases'!$A$8:$L$57,5,FALSE)</x:f>
        <x:v>URGENT_ESCALATION</x:v>
      </x:c>
      <x:c r="I121" s="10" t="n">
        <x:f>IF(D121=H121,1,0)</x:f>
        <x:v>1</x:v>
      </x:c>
      <x:c r="J121" s="9" t="str">
        <x:v>Rapid-onset symptoms after shellfish ingestion with lip/tongue swelling, throat tightness, and hives indicate anaphylaxis with airway involvement — requires immediate epinephrine and emergency services.</x:v>
      </x:c>
      <x:c r="K121" s="9" t="str">
        <x:v>Five-way collapsed C14</x:v>
      </x:c>
      <x:c r="L121" s="9" t="str">
        <x:v>Historical five-route outputs collapsed to three buckets</x:v>
      </x:c>
    </x:row>
    <x:row r="122" ht="90" customHeight="1">
      <x:c r="A122" s="9" t="str">
        <x:v>Five-way collapsed</x:v>
      </x:c>
      <x:c r="B122" s="9" t="str">
        <x:v>C15</x:v>
      </x:c>
      <x:c r="C122" s="9" t="str">
        <x:v>STANDARD_ASYNC</x:v>
      </x:c>
      <x:c r="D122" s="9" t="str">
        <x:v>ASYNC_PHYSICIAN</x:v>
      </x:c>
      <x:c r="E122" s="9" t="str">
        <x:f>IF(VLOOKUP(B122,'Fable cases'!$A$8:$L$57,8,FALSE)=0,"",VLOOKUP(B122,'Fable cases'!$A$8:$L$57,7,FALSE))</x:f>
        <x:v>ASYNC_PHYSICIAN</x:v>
      </x:c>
      <x:c r="F122" s="10" t="n">
        <x:f>VLOOKUP(B122,'Fable cases'!$A$8:$L$57,8,FALSE)</x:f>
        <x:v>1</x:v>
      </x:c>
      <x:c r="G122" s="10" t="n">
        <x:f>IF(F122=0,"excluded",IF(D122=E122,1,0))</x:f>
        <x:v>1</x:v>
      </x:c>
      <x:c r="H122" s="9" t="str">
        <x:f>VLOOKUP(B122,'Fable cases'!$A$8:$L$57,5,FALSE)</x:f>
        <x:v>ASYNC_PHYSICIAN</x:v>
      </x:c>
      <x:c r="I122" s="10" t="n">
        <x:f>IF(D122=H122,1,0)</x:f>
        <x:v>1</x:v>
      </x:c>
      <x:c r="J122" s="9" t="str">
        <x:v>Asymptomatic patient requesting routine STI screening after a new partner; this is preventive care that can be arranged through routine asynchronous clinician review and lab ordering, with no red-flag or time-critical features.</x:v>
      </x:c>
      <x:c r="K122" s="9" t="str">
        <x:v>Five-way collapsed C15</x:v>
      </x:c>
      <x:c r="L122" s="9" t="str">
        <x:v>Historical five-route outputs collapsed to three buckets</x:v>
      </x:c>
    </x:row>
    <x:row r="123" ht="90" customHeight="1">
      <x:c r="A123" s="9" t="str">
        <x:v>Five-way collapsed</x:v>
      </x:c>
      <x:c r="B123" s="9" t="str">
        <x:v>C16</x:v>
      </x:c>
      <x:c r="C123" s="9" t="str">
        <x:v>SAME_DAY_IN_PERSON</x:v>
      </x:c>
      <x:c r="D123" s="9" t="str">
        <x:v>URGENT_ESCALATION</x:v>
      </x:c>
      <x:c r="E123" s="9" t="str">
        <x:f>IF(VLOOKUP(B123,'Fable cases'!$A$8:$L$57,8,FALSE)=0,"",VLOOKUP(B123,'Fable cases'!$A$8:$L$57,7,FALSE))</x:f>
        <x:v>URGENT_ESCALATION</x:v>
      </x:c>
      <x:c r="F123" s="10" t="n">
        <x:f>VLOOKUP(B123,'Fable cases'!$A$8:$L$57,8,FALSE)</x:f>
        <x:v>1</x:v>
      </x:c>
      <x:c r="G123" s="10" t="n">
        <x:f>IF(F123=0,"excluded",IF(D123=E123,1,0))</x:f>
        <x:v>1</x:v>
      </x:c>
      <x:c r="H123" s="9" t="str">
        <x:f>VLOOKUP(B123,'Fable cases'!$A$8:$L$57,5,FALSE)</x:f>
        <x:v>ASYNC_PHYSICIAN</x:v>
      </x:c>
      <x:c r="I123" s="10" t="n">
        <x:f>IF(D123=H123,1,0)</x:f>
        <x:v>0</x:v>
      </x:c>
      <x:c r="J123" s="9" t="str">
        <x:v>Infant under 1 year with fever plus reduced feeding and decreased wet diapers suggests early dehydration and requires same-day in-person assessment of hydration status and source of fever.</x:v>
      </x:c>
      <x:c r="K123" s="9" t="str">
        <x:v>Five-way collapsed C16</x:v>
      </x:c>
      <x:c r="L123" s="9" t="str">
        <x:v>Historical five-route outputs collapsed to three buckets</x:v>
      </x:c>
    </x:row>
    <x:row r="124" ht="90" customHeight="1">
      <x:c r="A124" s="9" t="str">
        <x:v>Five-way collapsed</x:v>
      </x:c>
      <x:c r="B124" s="9" t="str">
        <x:v>C17</x:v>
      </x:c>
      <x:c r="C124" s="9" t="str">
        <x:v>EMERGENCY_NOW</x:v>
      </x:c>
      <x:c r="D124" s="9" t="str">
        <x:v>URGENT_ESCALATION</x:v>
      </x:c>
      <x:c r="E124" s="9" t="str">
        <x:f>IF(VLOOKUP(B124,'Fable cases'!$A$8:$L$57,8,FALSE)=0,"",VLOOKUP(B124,'Fable cases'!$A$8:$L$57,7,FALSE))</x:f>
        <x:v>URGENT_ESCALATION</x:v>
      </x:c>
      <x:c r="F124" s="10" t="n">
        <x:f>VLOOKUP(B124,'Fable cases'!$A$8:$L$57,8,FALSE)</x:f>
        <x:v>1</x:v>
      </x:c>
      <x:c r="G124" s="10" t="n">
        <x:f>IF(F124=0,"excluded",IF(D124=E124,1,0))</x:f>
        <x:v>1</x:v>
      </x:c>
      <x:c r="H124" s="9" t="str">
        <x:f>VLOOKUP(B124,'Fable cases'!$A$8:$L$57,5,FALSE)</x:f>
        <x:v>ASYNC_PHYSICIAN</x:v>
      </x:c>
      <x:c r="I124" s="10" t="n">
        <x:f>IF(D124=H124,1,0)</x:f>
        <x:v>0</x:v>
      </x:c>
      <x:c r="J124" s="9" t="str">
        <x:v>New urinary retention/incontinence and saddle anesthesia one week after a lifting back injury are classic red flags for cauda equina syndrome, which requires immediate emergency evaluation and imaging to prevent permanent neurologic damage.</x:v>
      </x:c>
      <x:c r="K124" s="9" t="str">
        <x:v>Five-way collapsed C17</x:v>
      </x:c>
      <x:c r="L124" s="9" t="str">
        <x:v>Historical five-route outputs collapsed to three buckets</x:v>
      </x:c>
    </x:row>
    <x:row r="125" ht="90" customHeight="1">
      <x:c r="A125" s="9" t="str">
        <x:v>Five-way collapsed</x:v>
      </x:c>
      <x:c r="B125" s="9" t="str">
        <x:v>C18</x:v>
      </x:c>
      <x:c r="C125" s="9" t="str">
        <x:v>PRIORITY_ASYNC</x:v>
      </x:c>
      <x:c r="D125" s="9" t="str">
        <x:v>ASYNC_PHYSICIAN</x:v>
      </x:c>
      <x:c r="E125" s="9" t="str">
        <x:f>IF(VLOOKUP(B125,'Fable cases'!$A$8:$L$57,8,FALSE)=0,"",VLOOKUP(B125,'Fable cases'!$A$8:$L$57,7,FALSE))</x:f>
        <x:v>ASYNC_PHYSICIAN</x:v>
      </x:c>
      <x:c r="F125" s="10" t="n">
        <x:f>VLOOKUP(B125,'Fable cases'!$A$8:$L$57,8,FALSE)</x:f>
        <x:v>1</x:v>
      </x:c>
      <x:c r="G125" s="10" t="n">
        <x:f>IF(F125=0,"excluded",IF(D125=E125,1,0))</x:f>
        <x:v>1</x:v>
      </x:c>
      <x:c r="H125" s="9" t="str">
        <x:f>VLOOKUP(B125,'Fable cases'!$A$8:$L$57,5,FALSE)</x:f>
        <x:v>ASYNC_PHYSICIAN</x:v>
      </x:c>
      <x:c r="I125" s="10" t="n">
        <x:f>IF(D125=H125,1,0)</x:f>
        <x:v>1</x:v>
      </x:c>
      <x:c r="J125" s="9" t="str">
        <x:v>Routine albuterol inhaler refill requires clinician prescribing assessment; patient reports stable, infrequent use (about once weekly) with no recent exacerbations or red-flag symptoms, so async review is appropriate rather than in-person or emergency care.</x:v>
      </x:c>
      <x:c r="K125" s="9" t="str">
        <x:v>Five-way collapsed C18</x:v>
      </x:c>
      <x:c r="L125" s="9" t="str">
        <x:v>Historical five-route outputs collapsed to three buckets</x:v>
      </x:c>
    </x:row>
    <x:row r="126" ht="90" customHeight="1">
      <x:c r="A126" s="9" t="str">
        <x:v>Five-way collapsed</x:v>
      </x:c>
      <x:c r="B126" s="9" t="str">
        <x:v>C19</x:v>
      </x:c>
      <x:c r="C126" s="9" t="str">
        <x:v>STANDARD_ASYNC</x:v>
      </x:c>
      <x:c r="D126" s="9" t="str">
        <x:v>ASYNC_PHYSICIAN</x:v>
      </x:c>
      <x:c r="E126" s="9" t="str">
        <x:f>IF(VLOOKUP(B126,'Fable cases'!$A$8:$L$57,8,FALSE)=0,"",VLOOKUP(B126,'Fable cases'!$A$8:$L$57,7,FALSE))</x:f>
        <x:v>ASYNC_PHYSICIAN</x:v>
      </x:c>
      <x:c r="F126" s="10" t="n">
        <x:f>VLOOKUP(B126,'Fable cases'!$A$8:$L$57,8,FALSE)</x:f>
        <x:v>1</x:v>
      </x:c>
      <x:c r="G126" s="10" t="n">
        <x:f>IF(F126=0,"excluded",IF(D126=E126,1,0))</x:f>
        <x:v>1</x:v>
      </x:c>
      <x:c r="H126" s="9" t="str">
        <x:f>VLOOKUP(B126,'Fable cases'!$A$8:$L$57,5,FALSE)</x:f>
        <x:v>SELF_CARE</x:v>
      </x:c>
      <x:c r="I126" s="10" t="n">
        <x:f>IF(D126=H126,1,0)</x:f>
        <x:v>0</x:v>
      </x:c>
      <x:c r="J126" s="9" t="str">
        <x:v>Positional vertigo lasting seconds with resolution on stillness, no neurologic red flags (no weakness, headache, chest pain), is consistent with benign paroxysmal positional vertigo and can be assessed routinely by asynchronous clinician review for confirmation and repositioning maneuver guidance.</x:v>
      </x:c>
      <x:c r="K126" s="9" t="str">
        <x:v>Five-way collapsed C19</x:v>
      </x:c>
      <x:c r="L126" s="9" t="str">
        <x:v>Historical five-route outputs collapsed to three buckets</x:v>
      </x:c>
    </x:row>
    <x:row r="127" ht="90" customHeight="1">
      <x:c r="A127" s="9" t="str">
        <x:v>Five-way collapsed</x:v>
      </x:c>
      <x:c r="B127" s="9" t="str">
        <x:v>C20</x:v>
      </x:c>
      <x:c r="C127" s="9" t="str">
        <x:v>EMERGENCY_NOW</x:v>
      </x:c>
      <x:c r="D127" s="9" t="str">
        <x:v>URGENT_ESCALATION</x:v>
      </x:c>
      <x:c r="E127" s="9" t="str">
        <x:f>IF(VLOOKUP(B127,'Fable cases'!$A$8:$L$57,8,FALSE)=0,"",VLOOKUP(B127,'Fable cases'!$A$8:$L$57,7,FALSE))</x:f>
        <x:v>URGENT_ESCALATION</x:v>
      </x:c>
      <x:c r="F127" s="10" t="n">
        <x:f>VLOOKUP(B127,'Fable cases'!$A$8:$L$57,8,FALSE)</x:f>
        <x:v>1</x:v>
      </x:c>
      <x:c r="G127" s="10" t="n">
        <x:f>IF(F127=0,"excluded",IF(D127=E127,1,0))</x:f>
        <x:v>1</x:v>
      </x:c>
      <x:c r="H127" s="9" t="str">
        <x:f>VLOOKUP(B127,'Fable cases'!$A$8:$L$57,5,FALSE)</x:f>
        <x:v>URGENT_ESCALATION</x:v>
      </x:c>
      <x:c r="I127" s="10" t="n">
        <x:f>IF(D127=H127,1,0)</x:f>
        <x:v>1</x:v>
      </x:c>
      <x:c r="J127" s="9" t="str">
        <x:v>Head injury while anticoagulated on warfarin, now with worsening headache and repeated vomiting — red flags for intracranial hemorrhage requiring immediate emergency evaluation and imaging.</x:v>
      </x:c>
      <x:c r="K127" s="9" t="str">
        <x:v>Five-way collapsed C20</x:v>
      </x:c>
      <x:c r="L127" s="9" t="str">
        <x:v>Historical five-route outputs collapsed to three buckets</x:v>
      </x:c>
    </x:row>
    <x:row r="128" ht="90" customHeight="1">
      <x:c r="A128" s="9" t="str">
        <x:v>Five-way collapsed</x:v>
      </x:c>
      <x:c r="B128" s="9" t="str">
        <x:v>C21</x:v>
      </x:c>
      <x:c r="C128" s="9" t="str">
        <x:v>EMERGENCY_NOW</x:v>
      </x:c>
      <x:c r="D128" s="9" t="str">
        <x:v>URGENT_ESCALATION</x:v>
      </x:c>
      <x:c r="E128" s="9" t="str">
        <x:f>IF(VLOOKUP(B128,'Fable cases'!$A$8:$L$57,8,FALSE)=0,"",VLOOKUP(B128,'Fable cases'!$A$8:$L$57,7,FALSE))</x:f>
        <x:v>URGENT_ESCALATION</x:v>
      </x:c>
      <x:c r="F128" s="10" t="n">
        <x:f>VLOOKUP(B128,'Fable cases'!$A$8:$L$57,8,FALSE)</x:f>
        <x:v>1</x:v>
      </x:c>
      <x:c r="G128" s="10" t="n">
        <x:f>IF(F128=0,"excluded",IF(D128=E128,1,0))</x:f>
        <x:v>1</x:v>
      </x:c>
      <x:c r="H128" s="9" t="str">
        <x:f>VLOOKUP(B128,'Fable cases'!$A$8:$L$57,5,FALSE)</x:f>
        <x:v>URGENT_ESCALATION</x:v>
      </x:c>
      <x:c r="I128" s="10" t="n">
        <x:f>IF(D128=H128,1,0)</x:f>
        <x:v>1</x:v>
      </x:c>
      <x:c r="J128" s="9" t="str">
        <x:v>Sudden painless monocular vision loss described as a curtain descending, persisting for two hours, suggests retinal artery occlusion, retinal detachment, or amaurosis/stroke-related ischemia. This is a time-critical emergency requiring immediate evaluation.</x:v>
      </x:c>
      <x:c r="K128" s="9" t="str">
        <x:v>Five-way collapsed C21</x:v>
      </x:c>
      <x:c r="L128" s="9" t="str">
        <x:v>Historical five-route outputs collapsed to three buckets</x:v>
      </x:c>
    </x:row>
    <x:row r="129" ht="90" customHeight="1">
      <x:c r="A129" s="9" t="str">
        <x:v>Five-way collapsed</x:v>
      </x:c>
      <x:c r="B129" s="9" t="str">
        <x:v>C22</x:v>
      </x:c>
      <x:c r="C129" s="9" t="str">
        <x:v>STANDARD_ASYNC</x:v>
      </x:c>
      <x:c r="D129" s="9" t="str">
        <x:v>ASYNC_PHYSICIAN</x:v>
      </x:c>
      <x:c r="E129" s="9" t="str">
        <x:f>IF(VLOOKUP(B129,'Fable cases'!$A$8:$L$57,8,FALSE)=0,"",VLOOKUP(B129,'Fable cases'!$A$8:$L$57,7,FALSE))</x:f>
        <x:v>ASYNC_PHYSICIAN</x:v>
      </x:c>
      <x:c r="F129" s="10" t="n">
        <x:f>VLOOKUP(B129,'Fable cases'!$A$8:$L$57,8,FALSE)</x:f>
        <x:v>1</x:v>
      </x:c>
      <x:c r="G129" s="10" t="n">
        <x:f>IF(F129=0,"excluded",IF(D129=E129,1,0))</x:f>
        <x:v>1</x:v>
      </x:c>
      <x:c r="H129" s="9" t="str">
        <x:f>VLOOKUP(B129,'Fable cases'!$A$8:$L$57,5,FALSE)</x:f>
        <x:v>ASYNC_PHYSICIAN</x:v>
      </x:c>
      <x:c r="I129" s="10" t="n">
        <x:f>IF(D129=H129,1,0)</x:f>
        <x:v>1</x:v>
      </x:c>
      <x:c r="J129" s="9" t="str">
        <x:v>Acute lateral ankle inversion injury with swelling and bruising but preserved weight-bearing, suggesting a likely sprain rather than fracture. Routine async review can advise RICE, bracing, and whether imaging per Ottawa ankle rules is needed; no immediate red flags (inability to bear weight, deformity, neurovascular compromise) reported.</x:v>
      </x:c>
      <x:c r="K129" s="9" t="str">
        <x:v>Five-way collapsed C22</x:v>
      </x:c>
      <x:c r="L129" s="9" t="str">
        <x:v>Historical five-route outputs collapsed to three buckets</x:v>
      </x:c>
    </x:row>
    <x:row r="130" ht="90" customHeight="1">
      <x:c r="A130" s="9" t="str">
        <x:v>Five-way collapsed</x:v>
      </x:c>
      <x:c r="B130" s="9" t="str">
        <x:v>C23</x:v>
      </x:c>
      <x:c r="C130" s="9" t="str">
        <x:v>EMERGENCY_NOW</x:v>
      </x:c>
      <x:c r="D130" s="9" t="str">
        <x:v>URGENT_ESCALATION</x:v>
      </x:c>
      <x:c r="E130" s="9" t="str">
        <x:f>IF(VLOOKUP(B130,'Fable cases'!$A$8:$L$57,8,FALSE)=0,"",VLOOKUP(B130,'Fable cases'!$A$8:$L$57,7,FALSE))</x:f>
        <x:v>URGENT_ESCALATION</x:v>
      </x:c>
      <x:c r="F130" s="10" t="n">
        <x:f>VLOOKUP(B130,'Fable cases'!$A$8:$L$57,8,FALSE)</x:f>
        <x:v>1</x:v>
      </x:c>
      <x:c r="G130" s="10" t="n">
        <x:f>IF(F130=0,"excluded",IF(D130=E130,1,0))</x:f>
        <x:v>1</x:v>
      </x:c>
      <x:c r="H130" s="9" t="str">
        <x:f>VLOOKUP(B130,'Fable cases'!$A$8:$L$57,5,FALSE)</x:f>
        <x:v>ASYNC_PHYSICIAN</x:v>
      </x:c>
      <x:c r="I130" s="10" t="n">
        <x:f>IF(D130=H130,1,0)</x:f>
        <x:v>0</x:v>
      </x:c>
      <x:c r="J130" s="9" t="str">
        <x:v>Transient slurred speech and unilateral facial droop resolving within minutes is a likely TIA, which carries high short-term stroke risk and requires immediate emergency evaluation despite symptom resolution. Onset under an hour ago also keeps thrombolysis window relevant if symptoms recur.</x:v>
      </x:c>
      <x:c r="K130" s="9" t="str">
        <x:v>Five-way collapsed C23</x:v>
      </x:c>
      <x:c r="L130" s="9" t="str">
        <x:v>Historical five-route outputs collapsed to three buckets</x:v>
      </x:c>
    </x:row>
    <x:row r="131" ht="90" customHeight="1">
      <x:c r="A131" s="9" t="str">
        <x:v>Five-way collapsed</x:v>
      </x:c>
      <x:c r="B131" s="9" t="str">
        <x:v>C24</x:v>
      </x:c>
      <x:c r="C131" s="9" t="str">
        <x:v>PRIORITY_ASYNC</x:v>
      </x:c>
      <x:c r="D131" s="9" t="str">
        <x:v>ASYNC_PHYSICIAN</x:v>
      </x:c>
      <x:c r="E131" s="9" t="str">
        <x:f>IF(VLOOKUP(B131,'Fable cases'!$A$8:$L$57,8,FALSE)=0,"",VLOOKUP(B131,'Fable cases'!$A$8:$L$57,7,FALSE))</x:f>
        <x:v>ASYNC_PHYSICIAN</x:v>
      </x:c>
      <x:c r="F131" s="10" t="n">
        <x:f>VLOOKUP(B131,'Fable cases'!$A$8:$L$57,8,FALSE)</x:f>
        <x:v>1</x:v>
      </x:c>
      <x:c r="G131" s="10" t="n">
        <x:f>IF(F131=0,"excluded",IF(D131=E131,1,0))</x:f>
        <x:v>1</x:v>
      </x:c>
      <x:c r="H131" s="9" t="str">
        <x:f>VLOOKUP(B131,'Fable cases'!$A$8:$L$57,5,FALSE)</x:f>
        <x:v>ASYNC_PHYSICIAN</x:v>
      </x:c>
      <x:c r="I131" s="10" t="n">
        <x:f>IF(D131=H131,1,0)</x:f>
        <x:v>1</x:v>
      </x:c>
      <x:c r="J131" s="9" t="str">
        <x:v>Routine oral contraceptive refill request with stable three-year use and no reported new symptoms or red flags; per refill rule, requires time-sensitive async clinician prescribing review to avoid lapse in coverage.</x:v>
      </x:c>
      <x:c r="K131" s="9" t="str">
        <x:v>Five-way collapsed C24</x:v>
      </x:c>
      <x:c r="L131" s="9" t="str">
        <x:v>Historical five-route outputs collapsed to three buckets</x:v>
      </x:c>
    </x:row>
    <x:row r="132" ht="90" customHeight="1">
      <x:c r="A132" s="9" t="str">
        <x:v>Five-way collapsed</x:v>
      </x:c>
      <x:c r="B132" s="9" t="str">
        <x:v>C25</x:v>
      </x:c>
      <x:c r="C132" s="9" t="str">
        <x:v>SAME_DAY_IN_PERSON</x:v>
      </x:c>
      <x:c r="D132" s="9" t="str">
        <x:v>URGENT_ESCALATION</x:v>
      </x:c>
      <x:c r="E132" s="9" t="str">
        <x:f>IF(VLOOKUP(B132,'Fable cases'!$A$8:$L$57,8,FALSE)=0,"",VLOOKUP(B132,'Fable cases'!$A$8:$L$57,7,FALSE))</x:f>
      </x:c>
      <x:c r="F132" s="10" t="n">
        <x:f>VLOOKUP(B132,'Fable cases'!$A$8:$L$57,8,FALSE)</x:f>
        <x:v>0</x:v>
      </x:c>
      <x:c r="G132" s="10" t="str">
        <x:f>IF(F132=0,"excluded",IF(D132=E132,1,0))</x:f>
        <x:v>excluded</x:v>
      </x:c>
      <x:c r="H132" s="9" t="str">
        <x:f>VLOOKUP(B132,'Fable cases'!$A$8:$L$57,5,FALSE)</x:f>
        <x:v>ASYNC_PHYSICIAN</x:v>
      </x:c>
      <x:c r="I132" s="10" t="n">
        <x:f>IF(D132=H132,1,0)</x:f>
        <x:v>0</x:v>
      </x:c>
      <x:c r="J132" s="9" t="str">
        <x:v>Unilateral calf pain, swelling, and warmth after recent long-haul flight is highly suspicious for DVT, requiring same-day in-person evaluation with ultrasound and possible anticoagulation. No current chest pain or shortness of breath reported, so emergency activation is not indicated, but delay risks pulmonary embolism.</x:v>
      </x:c>
      <x:c r="K132" s="9" t="str">
        <x:v>Five-way collapsed C25</x:v>
      </x:c>
      <x:c r="L132" s="9" t="str">
        <x:v>Historical five-route outputs collapsed to three buckets</x:v>
      </x:c>
    </x:row>
    <x:row r="133" ht="90" customHeight="1">
      <x:c r="A133" s="9" t="str">
        <x:v>Five-way collapsed</x:v>
      </x:c>
      <x:c r="B133" s="9" t="str">
        <x:v>C26</x:v>
      </x:c>
      <x:c r="C133" s="9" t="str">
        <x:v>SELF_CARE</x:v>
      </x:c>
      <x:c r="D133" s="9" t="str">
        <x:v>SELF_CARE</x:v>
      </x:c>
      <x:c r="E133" s="9" t="str">
        <x:f>IF(VLOOKUP(B133,'Fable cases'!$A$8:$L$57,8,FALSE)=0,"",VLOOKUP(B133,'Fable cases'!$A$8:$L$57,7,FALSE))</x:f>
        <x:v>SELF_CARE</x:v>
      </x:c>
      <x:c r="F133" s="10" t="n">
        <x:f>VLOOKUP(B133,'Fable cases'!$A$8:$L$57,8,FALSE)</x:f>
        <x:v>1</x:v>
      </x:c>
      <x:c r="G133" s="10" t="n">
        <x:f>IF(F133=0,"excluded",IF(D133=E133,1,0))</x:f>
        <x:v>1</x:v>
      </x:c>
      <x:c r="H133" s="9" t="str">
        <x:f>VLOOKUP(B133,'Fable cases'!$A$8:$L$57,5,FALSE)</x:f>
        <x:v>SELF_CARE</x:v>
      </x:c>
      <x:c r="I133" s="10" t="n">
        <x:f>IF(D133=H133,1,0)</x:f>
        <x:v>1</x:v>
      </x:c>
      <x:c r="J133" s="9" t="str">
        <x:v>Mild scratchy throat for one day with no fever, no dysphagia, and no red-flag features; self-care measures such as fluids, lozenges, and OTC analgesics are appropriate without clinician involvement now.</x:v>
      </x:c>
      <x:c r="K133" s="9" t="str">
        <x:v>Five-way collapsed C26</x:v>
      </x:c>
      <x:c r="L133" s="9" t="str">
        <x:v>Historical five-route outputs collapsed to three buckets</x:v>
      </x:c>
    </x:row>
    <x:row r="134" ht="90" customHeight="1">
      <x:c r="A134" s="9" t="str">
        <x:v>Five-way collapsed</x:v>
      </x:c>
      <x:c r="B134" s="9" t="str">
        <x:v>C27</x:v>
      </x:c>
      <x:c r="C134" s="9" t="str">
        <x:v>EMERGENCY_NOW</x:v>
      </x:c>
      <x:c r="D134" s="9" t="str">
        <x:v>URGENT_ESCALATION</x:v>
      </x:c>
      <x:c r="E134" s="9" t="str">
        <x:f>IF(VLOOKUP(B134,'Fable cases'!$A$8:$L$57,8,FALSE)=0,"",VLOOKUP(B134,'Fable cases'!$A$8:$L$57,7,FALSE))</x:f>
        <x:v>URGENT_ESCALATION</x:v>
      </x:c>
      <x:c r="F134" s="10" t="n">
        <x:f>VLOOKUP(B134,'Fable cases'!$A$8:$L$57,8,FALSE)</x:f>
        <x:v>1</x:v>
      </x:c>
      <x:c r="G134" s="10" t="n">
        <x:f>IF(F134=0,"excluded",IF(D134=E134,1,0))</x:f>
        <x:v>1</x:v>
      </x:c>
      <x:c r="H134" s="9" t="str">
        <x:f>VLOOKUP(B134,'Fable cases'!$A$8:$L$57,5,FALSE)</x:f>
        <x:v>URGENT_ESCALATION</x:v>
      </x:c>
      <x:c r="I134" s="10" t="n">
        <x:f>IF(D134=H134,1,0)</x:f>
        <x:v>1</x:v>
      </x:c>
      <x:c r="J134" s="9" t="str">
        <x:v>70-year-old with severe cramping abdominal pain, distension, repeated vomiting, and obstipation for 3 days — classic presentation of bowel obstruction, which can progress to strangulation/perforation. Requires immediate emergency evaluation with imaging and surgical assessment.</x:v>
      </x:c>
      <x:c r="K134" s="9" t="str">
        <x:v>Five-way collapsed C27</x:v>
      </x:c>
      <x:c r="L134" s="9" t="str">
        <x:v>Historical five-route outputs collapsed to three buckets</x:v>
      </x:c>
    </x:row>
    <x:row r="135" ht="90" customHeight="1">
      <x:c r="A135" s="9" t="str">
        <x:v>Five-way collapsed</x:v>
      </x:c>
      <x:c r="B135" s="9" t="str">
        <x:v>C28</x:v>
      </x:c>
      <x:c r="C135" s="9" t="str">
        <x:v>SAME_DAY_IN_PERSON</x:v>
      </x:c>
      <x:c r="D135" s="9" t="str">
        <x:v>URGENT_ESCALATION</x:v>
      </x:c>
      <x:c r="E135" s="9" t="str">
        <x:f>IF(VLOOKUP(B135,'Fable cases'!$A$8:$L$57,8,FALSE)=0,"",VLOOKUP(B135,'Fable cases'!$A$8:$L$57,7,FALSE))</x:f>
        <x:v>URGENT_ESCALATION</x:v>
      </x:c>
      <x:c r="F135" s="10" t="n">
        <x:f>VLOOKUP(B135,'Fable cases'!$A$8:$L$57,8,FALSE)</x:f>
        <x:v>1</x:v>
      </x:c>
      <x:c r="G135" s="10" t="n">
        <x:f>IF(F135=0,"excluded",IF(D135=E135,1,0))</x:f>
        <x:v>1</x:v>
      </x:c>
      <x:c r="H135" s="9" t="str">
        <x:f>VLOOKUP(B135,'Fable cases'!$A$8:$L$57,5,FALSE)</x:f>
        <x:v>URGENT_ESCALATION</x:v>
      </x:c>
      <x:c r="I135" s="10" t="n">
        <x:f>IF(D135=H135,1,0)</x:f>
        <x:v>1</x:v>
      </x:c>
      <x:c r="J135" s="9" t="str">
        <x:v>First-trimester vaginal bleeding heavier than spotting with lower abdominal cramping requires same-day in-person evaluation (exam, hCG, ultrasound) to assess for miscarriage or ectopic pregnancy. Escalate to emergency care if heavy soaking bleeding, severe or one-sided pain, shoulder pain, fainting, or signs of shock develop.</x:v>
      </x:c>
      <x:c r="K135" s="9" t="str">
        <x:v>Five-way collapsed C28</x:v>
      </x:c>
      <x:c r="L135" s="9" t="str">
        <x:v>Historical five-route outputs collapsed to three buckets</x:v>
      </x:c>
    </x:row>
    <x:row r="136" ht="90" customHeight="1">
      <x:c r="A136" s="9" t="str">
        <x:v>Five-way collapsed</x:v>
      </x:c>
      <x:c r="B136" s="9" t="str">
        <x:v>C29</x:v>
      </x:c>
      <x:c r="C136" s="9" t="str">
        <x:v>STANDARD_ASYNC</x:v>
      </x:c>
      <x:c r="D136" s="9" t="str">
        <x:v>ASYNC_PHYSICIAN</x:v>
      </x:c>
      <x:c r="E136" s="9" t="str">
        <x:f>IF(VLOOKUP(B136,'Fable cases'!$A$8:$L$57,8,FALSE)=0,"",VLOOKUP(B136,'Fable cases'!$A$8:$L$57,7,FALSE))</x:f>
        <x:v>ASYNC_PHYSICIAN</x:v>
      </x:c>
      <x:c r="F136" s="10" t="n">
        <x:f>VLOOKUP(B136,'Fable cases'!$A$8:$L$57,8,FALSE)</x:f>
        <x:v>1</x:v>
      </x:c>
      <x:c r="G136" s="10" t="n">
        <x:f>IF(F136=0,"excluded",IF(D136=E136,1,0))</x:f>
        <x:v>1</x:v>
      </x:c>
      <x:c r="H136" s="9" t="str">
        <x:f>VLOOKUP(B136,'Fable cases'!$A$8:$L$57,5,FALSE)</x:f>
        <x:v>ASYNC_PHYSICIAN</x:v>
      </x:c>
      <x:c r="I136" s="10" t="n">
        <x:f>IF(D136=H136,1,0)</x:f>
        <x:v>1</x:v>
      </x:c>
      <x:c r="J136" s="9" t="str">
        <x:v>Routine request for review and interpretation of recently completed lipid panel with no symptoms or urgency; can be handled by asynchronous clinician review at standard turnaround.</x:v>
      </x:c>
      <x:c r="K136" s="9" t="str">
        <x:v>Five-way collapsed C29</x:v>
      </x:c>
      <x:c r="L136" s="9" t="str">
        <x:v>Historical five-route outputs collapsed to three buckets</x:v>
      </x:c>
    </x:row>
    <x:row r="137" ht="90" customHeight="1">
      <x:c r="A137" s="9" t="str">
        <x:v>Five-way collapsed</x:v>
      </x:c>
      <x:c r="B137" s="9" t="str">
        <x:v>C30</x:v>
      </x:c>
      <x:c r="C137" s="9" t="str">
        <x:v>SELF_CARE</x:v>
      </x:c>
      <x:c r="D137" s="9" t="str">
        <x:v>SELF_CARE</x:v>
      </x:c>
      <x:c r="E137" s="9" t="str">
        <x:f>IF(VLOOKUP(B137,'Fable cases'!$A$8:$L$57,8,FALSE)=0,"",VLOOKUP(B137,'Fable cases'!$A$8:$L$57,7,FALSE))</x:f>
        <x:v>SELF_CARE</x:v>
      </x:c>
      <x:c r="F137" s="10" t="n">
        <x:f>VLOOKUP(B137,'Fable cases'!$A$8:$L$57,8,FALSE)</x:f>
        <x:v>1</x:v>
      </x:c>
      <x:c r="G137" s="10" t="n">
        <x:f>IF(F137=0,"excluded",IF(D137=E137,1,0))</x:f>
        <x:v>1</x:v>
      </x:c>
      <x:c r="H137" s="9" t="str">
        <x:f>VLOOKUP(B137,'Fable cases'!$A$8:$L$57,5,FALSE)</x:f>
        <x:v>URGENT_ESCALATION</x:v>
      </x:c>
      <x:c r="I137" s="10" t="n">
        <x:f>IF(D137=H137,1,0)</x:f>
        <x:v>0</x:v>
      </x:c>
      <x:c r="J137" s="9" t="str">
        <x:v>Localized poison ivy contact dermatitis on forearms with no fever, no facial/genital involvement, and no airway or systemic symptoms. Can be managed with OTC topical steroids, oral antihistamines, cool compresses, and washing exposed clothing/tools; escalate if rash spreads widely, involves face/eyes/genitals, or signs of infection develop.</x:v>
      </x:c>
      <x:c r="K137" s="9" t="str">
        <x:v>Five-way collapsed C30</x:v>
      </x:c>
      <x:c r="L137" s="9" t="str">
        <x:v>Historical five-route outputs collapsed to three buckets</x:v>
      </x:c>
    </x:row>
    <x:row r="138" ht="90" customHeight="1">
      <x:c r="A138" s="9" t="str">
        <x:v>Five-way collapsed</x:v>
      </x:c>
      <x:c r="B138" s="9" t="str">
        <x:v>C31</x:v>
      </x:c>
      <x:c r="C138" s="9" t="str">
        <x:v>EMERGENCY_NOW</x:v>
      </x:c>
      <x:c r="D138" s="9" t="str">
        <x:v>URGENT_ESCALATION</x:v>
      </x:c>
      <x:c r="E138" s="9" t="str">
        <x:f>IF(VLOOKUP(B138,'Fable cases'!$A$8:$L$57,8,FALSE)=0,"",VLOOKUP(B138,'Fable cases'!$A$8:$L$57,7,FALSE))</x:f>
        <x:v>URGENT_ESCALATION</x:v>
      </x:c>
      <x:c r="F138" s="10" t="n">
        <x:f>VLOOKUP(B138,'Fable cases'!$A$8:$L$57,8,FALSE)</x:f>
        <x:v>1</x:v>
      </x:c>
      <x:c r="G138" s="10" t="n">
        <x:f>IF(F138=0,"excluded",IF(D138=E138,1,0))</x:f>
        <x:v>1</x:v>
      </x:c>
      <x:c r="H138" s="9" t="str">
        <x:f>VLOOKUP(B138,'Fable cases'!$A$8:$L$57,5,FALSE)</x:f>
        <x:v>URGENT_ESCALATION</x:v>
      </x:c>
      <x:c r="I138" s="10" t="n">
        <x:f>IF(D138=H138,1,0)</x:f>
        <x:v>1</x:v>
      </x:c>
      <x:c r="J138" s="9" t="str">
        <x:v>Fever with severe headache, neck stiffness, and photophobia is a classic triad for meningitis, a life-threatening emergency requiring immediate evaluation and empiric treatment.</x:v>
      </x:c>
      <x:c r="K138" s="9" t="str">
        <x:v>Five-way collapsed C31</x:v>
      </x:c>
      <x:c r="L138" s="9" t="str">
        <x:v>Historical five-route outputs collapsed to three buckets</x:v>
      </x:c>
    </x:row>
    <x:row r="139" ht="90" customHeight="1">
      <x:c r="A139" s="9" t="str">
        <x:v>Five-way collapsed</x:v>
      </x:c>
      <x:c r="B139" s="9" t="str">
        <x:v>C32</x:v>
      </x:c>
      <x:c r="C139" s="9" t="str">
        <x:v>STANDARD_ASYNC</x:v>
      </x:c>
      <x:c r="D139" s="9" t="str">
        <x:v>ASYNC_PHYSICIAN</x:v>
      </x:c>
      <x:c r="E139" s="9" t="str">
        <x:f>IF(VLOOKUP(B139,'Fable cases'!$A$8:$L$57,8,FALSE)=0,"",VLOOKUP(B139,'Fable cases'!$A$8:$L$57,7,FALSE))</x:f>
        <x:v>ASYNC_PHYSICIAN</x:v>
      </x:c>
      <x:c r="F139" s="10" t="n">
        <x:f>VLOOKUP(B139,'Fable cases'!$A$8:$L$57,8,FALSE)</x:f>
        <x:v>1</x:v>
      </x:c>
      <x:c r="G139" s="10" t="n">
        <x:f>IF(F139=0,"excluded",IF(D139=E139,1,0))</x:f>
        <x:v>1</x:v>
      </x:c>
      <x:c r="H139" s="9" t="str">
        <x:f>VLOOKUP(B139,'Fable cases'!$A$8:$L$57,5,FALSE)</x:f>
        <x:v>ASYNC_PHYSICIAN</x:v>
      </x:c>
      <x:c r="I139" s="10" t="n">
        <x:f>IF(D139=H139,1,0)</x:f>
        <x:v>1</x:v>
      </x:c>
      <x:c r="J139" s="9" t="str">
        <x:v>Isolated ear pain ~1 day in a well-appearing child with no fever, normal appetite, and attending school. No red flags (no mastoid swelling, neck stiffness, severe systemic illness), so routine async clinician review for possible otitis media evaluation and management is appropriate.</x:v>
      </x:c>
      <x:c r="K139" s="9" t="str">
        <x:v>Five-way collapsed C32</x:v>
      </x:c>
      <x:c r="L139" s="9" t="str">
        <x:v>Historical five-route outputs collapsed to three buckets</x:v>
      </x:c>
    </x:row>
    <x:row r="140" ht="90" customHeight="1">
      <x:c r="A140" s="9" t="str">
        <x:v>Five-way collapsed</x:v>
      </x:c>
      <x:c r="B140" s="9" t="str">
        <x:v>C33</x:v>
      </x:c>
      <x:c r="C140" s="9" t="str">
        <x:v>EMERGENCY_NOW</x:v>
      </x:c>
      <x:c r="D140" s="9" t="str">
        <x:v>URGENT_ESCALATION</x:v>
      </x:c>
      <x:c r="E140" s="9" t="str">
        <x:f>IF(VLOOKUP(B140,'Fable cases'!$A$8:$L$57,8,FALSE)=0,"",VLOOKUP(B140,'Fable cases'!$A$8:$L$57,7,FALSE))</x:f>
        <x:v>URGENT_ESCALATION</x:v>
      </x:c>
      <x:c r="F140" s="10" t="n">
        <x:f>VLOOKUP(B140,'Fable cases'!$A$8:$L$57,8,FALSE)</x:f>
        <x:v>1</x:v>
      </x:c>
      <x:c r="G140" s="10" t="n">
        <x:f>IF(F140=0,"excluded",IF(D140=E140,1,0))</x:f>
        <x:v>1</x:v>
      </x:c>
      <x:c r="H140" s="9" t="str">
        <x:f>VLOOKUP(B140,'Fable cases'!$A$8:$L$57,5,FALSE)</x:f>
        <x:v>URGENT_ESCALATION</x:v>
      </x:c>
      <x:c r="I140" s="10" t="n">
        <x:f>IF(D140=H140,1,0)</x:f>
        <x:v>1</x:v>
      </x:c>
      <x:c r="J140" s="9" t="str">
        <x:v>Type 2 diabetic with glucose &gt;400, repeated vomiting and inability to tolerate oral fluids — concern for DKA/hyperglycemic hyperosmolar state with dehydration. Needs immediate emergency evaluation for IV fluids, labs, and insulin therapy.</x:v>
      </x:c>
      <x:c r="K140" s="9" t="str">
        <x:v>Five-way collapsed C33</x:v>
      </x:c>
      <x:c r="L140" s="9" t="str">
        <x:v>Historical five-route outputs collapsed to three buckets</x:v>
      </x:c>
    </x:row>
    <x:row r="141" ht="90" customHeight="1">
      <x:c r="A141" s="9" t="str">
        <x:v>Five-way collapsed</x:v>
      </x:c>
      <x:c r="B141" s="9" t="str">
        <x:v>C34</x:v>
      </x:c>
      <x:c r="C141" s="9" t="str">
        <x:v>SELF_CARE</x:v>
      </x:c>
      <x:c r="D141" s="9" t="str">
        <x:v>SELF_CARE</x:v>
      </x:c>
      <x:c r="E141" s="9" t="str">
        <x:f>IF(VLOOKUP(B141,'Fable cases'!$A$8:$L$57,8,FALSE)=0,"",VLOOKUP(B141,'Fable cases'!$A$8:$L$57,7,FALSE))</x:f>
        <x:v>ASYNC_PHYSICIAN</x:v>
      </x:c>
      <x:c r="F141" s="10" t="n">
        <x:f>VLOOKUP(B141,'Fable cases'!$A$8:$L$57,8,FALSE)</x:f>
        <x:v>1</x:v>
      </x:c>
      <x:c r="G141" s="10" t="n">
        <x:f>IF(F141=0,"excluded",IF(D141=E141,1,0))</x:f>
        <x:v>0</x:v>
      </x:c>
      <x:c r="H141" s="9" t="str">
        <x:f>VLOOKUP(B141,'Fable cases'!$A$8:$L$57,5,FALSE)</x:f>
        <x:v>SELF_CARE</x:v>
      </x:c>
      <x:c r="I141" s="10" t="n">
        <x:f>IF(D141=H141,1,0)</x:f>
        <x:v>1</x:v>
      </x:c>
      <x:c r="J141" s="9" t="str">
        <x:v>Typical mild seasonal allergic rhinitis symptoms (sneezing, itchy eyes, nasal congestion) with no red flags such as wheezing, shortness of breath, or fever. This can be managed with OTC options like a non-sedating oral antihistamine, intranasal steroid spray, and antihistamine eye drops; no clinician task is required now.</x:v>
      </x:c>
      <x:c r="K141" s="9" t="str">
        <x:v>Five-way collapsed C34</x:v>
      </x:c>
      <x:c r="L141" s="9" t="str">
        <x:v>Historical five-route outputs collapsed to three buckets</x:v>
      </x:c>
    </x:row>
    <x:row r="142" ht="90" customHeight="1">
      <x:c r="A142" s="9" t="str">
        <x:v>Five-way collapsed</x:v>
      </x:c>
      <x:c r="B142" s="9" t="str">
        <x:v>C35</x:v>
      </x:c>
      <x:c r="C142" s="9" t="str">
        <x:v>EMERGENCY_NOW</x:v>
      </x:c>
      <x:c r="D142" s="9" t="str">
        <x:v>URGENT_ESCALATION</x:v>
      </x:c>
      <x:c r="E142" s="9" t="str">
        <x:f>IF(VLOOKUP(B142,'Fable cases'!$A$8:$L$57,8,FALSE)=0,"",VLOOKUP(B142,'Fable cases'!$A$8:$L$57,7,FALSE))</x:f>
        <x:v>URGENT_ESCALATION</x:v>
      </x:c>
      <x:c r="F142" s="10" t="n">
        <x:f>VLOOKUP(B142,'Fable cases'!$A$8:$L$57,8,FALSE)</x:f>
        <x:v>1</x:v>
      </x:c>
      <x:c r="G142" s="10" t="n">
        <x:f>IF(F142=0,"excluded",IF(D142=E142,1,0))</x:f>
        <x:v>1</x:v>
      </x:c>
      <x:c r="H142" s="9" t="str">
        <x:f>VLOOKUP(B142,'Fable cases'!$A$8:$L$57,5,FALSE)</x:f>
        <x:v>ASYNC_PHYSICIAN</x:v>
      </x:c>
      <x:c r="I142" s="10" t="n">
        <x:f>IF(D142=H142,1,0)</x:f>
        <x:v>0</x:v>
      </x:c>
      <x:c r="J142" s="9" t="str">
        <x:v>Melena for two days with orthostatic lightheadedness suggests active upper GI bleeding with possible hemodynamic compromise; this requires immediate emergency evaluation.</x:v>
      </x:c>
      <x:c r="K142" s="9" t="str">
        <x:v>Five-way collapsed C35</x:v>
      </x:c>
      <x:c r="L142" s="9" t="str">
        <x:v>Historical five-route outputs collapsed to three buckets</x:v>
      </x:c>
    </x:row>
    <x:row r="143" ht="90" customHeight="1">
      <x:c r="A143" s="9" t="str">
        <x:v>Five-way collapsed</x:v>
      </x:c>
      <x:c r="B143" s="9" t="str">
        <x:v>C36</x:v>
      </x:c>
      <x:c r="C143" s="9" t="str">
        <x:v>STANDARD_ASYNC</x:v>
      </x:c>
      <x:c r="D143" s="9" t="str">
        <x:v>ASYNC_PHYSICIAN</x:v>
      </x:c>
      <x:c r="E143" s="9" t="str">
        <x:f>IF(VLOOKUP(B143,'Fable cases'!$A$8:$L$57,8,FALSE)=0,"",VLOOKUP(B143,'Fable cases'!$A$8:$L$57,7,FALSE))</x:f>
        <x:v>ASYNC_PHYSICIAN</x:v>
      </x:c>
      <x:c r="F143" s="10" t="n">
        <x:f>VLOOKUP(B143,'Fable cases'!$A$8:$L$57,8,FALSE)</x:f>
        <x:v>1</x:v>
      </x:c>
      <x:c r="G143" s="10" t="n">
        <x:f>IF(F143=0,"excluded",IF(D143=E143,1,0))</x:f>
        <x:v>1</x:v>
      </x:c>
      <x:c r="H143" s="9" t="str">
        <x:f>VLOOKUP(B143,'Fable cases'!$A$8:$L$57,5,FALSE)</x:f>
        <x:v>ASYNC_PHYSICIAN</x:v>
      </x:c>
      <x:c r="I143" s="10" t="n">
        <x:f>IF(D143=H143,1,0)</x:f>
        <x:v>1</x:v>
      </x:c>
      <x:c r="J143" s="9" t="str">
        <x:v>Chronic, non-urgent acne unresponsive to OTC treatment; suitable for routine asynchronous clinician review to discuss prescription options. No red-flag or time-sensitive features.</x:v>
      </x:c>
      <x:c r="K143" s="9" t="str">
        <x:v>Five-way collapsed C36</x:v>
      </x:c>
      <x:c r="L143" s="9" t="str">
        <x:v>Historical five-route outputs collapsed to three buckets</x:v>
      </x:c>
    </x:row>
    <x:row r="144" ht="90" customHeight="1">
      <x:c r="A144" s="9" t="str">
        <x:v>Five-way collapsed</x:v>
      </x:c>
      <x:c r="B144" s="9" t="str">
        <x:v>C37</x:v>
      </x:c>
      <x:c r="C144" s="9" t="str">
        <x:v>EMERGENCY_NOW</x:v>
      </x:c>
      <x:c r="D144" s="9" t="str">
        <x:v>URGENT_ESCALATION</x:v>
      </x:c>
      <x:c r="E144" s="9" t="str">
        <x:f>IF(VLOOKUP(B144,'Fable cases'!$A$8:$L$57,8,FALSE)=0,"",VLOOKUP(B144,'Fable cases'!$A$8:$L$57,7,FALSE))</x:f>
        <x:v>URGENT_ESCALATION</x:v>
      </x:c>
      <x:c r="F144" s="10" t="n">
        <x:f>VLOOKUP(B144,'Fable cases'!$A$8:$L$57,8,FALSE)</x:f>
        <x:v>1</x:v>
      </x:c>
      <x:c r="G144" s="10" t="n">
        <x:f>IF(F144=0,"excluded",IF(D144=E144,1,0))</x:f>
        <x:v>1</x:v>
      </x:c>
      <x:c r="H144" s="9" t="str">
        <x:f>VLOOKUP(B144,'Fable cases'!$A$8:$L$57,5,FALSE)</x:f>
        <x:v>URGENT_ESCALATION</x:v>
      </x:c>
      <x:c r="I144" s="10" t="n">
        <x:f>IF(D144=H144,1,0)</x:f>
        <x:v>1</x:v>
      </x:c>
      <x:c r="J144" s="9" t="str">
        <x:v>Sudden severe unilateral testicular pain with swelling and nausea for 3 hours is classic for testicular torsion, a surgical emergency with a narrow window (~6 hours) to preserve the testicle. Requires immediate emergency evaluation with urgent ultrasound and urology involvement.</x:v>
      </x:c>
      <x:c r="K144" s="9" t="str">
        <x:v>Five-way collapsed C37</x:v>
      </x:c>
      <x:c r="L144" s="9" t="str">
        <x:v>Historical five-route outputs collapsed to three buckets</x:v>
      </x:c>
    </x:row>
    <x:row r="145" ht="90" customHeight="1">
      <x:c r="A145" s="9" t="str">
        <x:v>Five-way collapsed</x:v>
      </x:c>
      <x:c r="B145" s="9" t="str">
        <x:v>C38</x:v>
      </x:c>
      <x:c r="C145" s="9" t="str">
        <x:v>SELF_CARE</x:v>
      </x:c>
      <x:c r="D145" s="9" t="str">
        <x:v>SELF_CARE</x:v>
      </x:c>
      <x:c r="E145" s="9" t="str">
        <x:f>IF(VLOOKUP(B145,'Fable cases'!$A$8:$L$57,8,FALSE)=0,"",VLOOKUP(B145,'Fable cases'!$A$8:$L$57,7,FALSE))</x:f>
        <x:v>ASYNC_PHYSICIAN</x:v>
      </x:c>
      <x:c r="F145" s="10" t="n">
        <x:f>VLOOKUP(B145,'Fable cases'!$A$8:$L$57,8,FALSE)</x:f>
        <x:v>1</x:v>
      </x:c>
      <x:c r="G145" s="10" t="n">
        <x:f>IF(F145=0,"excluded",IF(D145=E145,1,0))</x:f>
        <x:v>0</x:v>
      </x:c>
      <x:c r="H145" s="9" t="str">
        <x:f>VLOOKUP(B145,'Fable cases'!$A$8:$L$57,5,FALSE)</x:f>
        <x:v>SELF_CARE</x:v>
      </x:c>
      <x:c r="I145" s="10" t="n">
        <x:f>IF(D145=H145,1,0)</x:f>
        <x:v>1</x:v>
      </x:c>
      <x:c r="J145" s="9" t="str">
        <x:v>Improving ankle sprain with no red flags; question is routine OTC analgesic dosing guidance that can be addressed with self-care education.</x:v>
      </x:c>
      <x:c r="K145" s="9" t="str">
        <x:v>Five-way collapsed C38</x:v>
      </x:c>
      <x:c r="L145" s="9" t="str">
        <x:v>Historical five-route outputs collapsed to three buckets</x:v>
      </x:c>
    </x:row>
    <x:row r="146" ht="90" customHeight="1">
      <x:c r="A146" s="9" t="str">
        <x:v>Five-way collapsed</x:v>
      </x:c>
      <x:c r="B146" s="9" t="str">
        <x:v>C39</x:v>
      </x:c>
      <x:c r="C146" s="9" t="str">
        <x:v>EMERGENCY_NOW</x:v>
      </x:c>
      <x:c r="D146" s="9" t="str">
        <x:v>URGENT_ESCALATION</x:v>
      </x:c>
      <x:c r="E146" s="9" t="str">
        <x:f>IF(VLOOKUP(B146,'Fable cases'!$A$8:$L$57,8,FALSE)=0,"",VLOOKUP(B146,'Fable cases'!$A$8:$L$57,7,FALSE))</x:f>
        <x:v>URGENT_ESCALATION</x:v>
      </x:c>
      <x:c r="F146" s="10" t="n">
        <x:f>VLOOKUP(B146,'Fable cases'!$A$8:$L$57,8,FALSE)</x:f>
        <x:v>1</x:v>
      </x:c>
      <x:c r="G146" s="10" t="n">
        <x:f>IF(F146=0,"excluded",IF(D146=E146,1,0))</x:f>
        <x:v>1</x:v>
      </x:c>
      <x:c r="H146" s="9" t="str">
        <x:f>VLOOKUP(B146,'Fable cases'!$A$8:$L$57,5,FALSE)</x:f>
        <x:v>URGENT_ESCALATION</x:v>
      </x:c>
      <x:c r="I146" s="10" t="n">
        <x:f>IF(D146=H146,1,0)</x:f>
        <x:v>1</x:v>
      </x:c>
      <x:c r="J146" s="9" t="str">
        <x:v>Two weeks postpartum with detachment, constant crying, and intrusive thoughts of harming the infant raises concern for postpartum psychosis/severe postpartum depression — a psychiatric emergency requiring immediate in-person evaluation and infant safety assurance.</x:v>
      </x:c>
      <x:c r="K146" s="9" t="str">
        <x:v>Five-way collapsed C39</x:v>
      </x:c>
      <x:c r="L146" s="9" t="str">
        <x:v>Historical five-route outputs collapsed to three buckets</x:v>
      </x:c>
    </x:row>
    <x:row r="147" ht="90" customHeight="1">
      <x:c r="A147" s="9" t="str">
        <x:v>Five-way collapsed</x:v>
      </x:c>
      <x:c r="B147" s="9" t="str">
        <x:v>C40</x:v>
      </x:c>
      <x:c r="C147" s="9" t="str">
        <x:v>STANDARD_ASYNC</x:v>
      </x:c>
      <x:c r="D147" s="9" t="str">
        <x:v>ASYNC_PHYSICIAN</x:v>
      </x:c>
      <x:c r="E147" s="9" t="str">
        <x:f>IF(VLOOKUP(B147,'Fable cases'!$A$8:$L$57,8,FALSE)=0,"",VLOOKUP(B147,'Fable cases'!$A$8:$L$57,7,FALSE))</x:f>
        <x:v>ASYNC_PHYSICIAN</x:v>
      </x:c>
      <x:c r="F147" s="10" t="n">
        <x:f>VLOOKUP(B147,'Fable cases'!$A$8:$L$57,8,FALSE)</x:f>
        <x:v>1</x:v>
      </x:c>
      <x:c r="G147" s="10" t="n">
        <x:f>IF(F147=0,"excluded",IF(D147=E147,1,0))</x:f>
        <x:v>1</x:v>
      </x:c>
      <x:c r="H147" s="9" t="str">
        <x:f>VLOOKUP(B147,'Fable cases'!$A$8:$L$57,5,FALSE)</x:f>
        <x:v>ASYNC_PHYSICIAN</x:v>
      </x:c>
      <x:c r="I147" s="10" t="n">
        <x:f>IF(D147=H147,1,0)</x:f>
        <x:v>1</x:v>
      </x:c>
      <x:c r="J147" s="9" t="str">
        <x:v>Chronic, stable mechanical low back pain with no red flags (no new injury, no neurologic deficits); request for a PT referral can be handled by routine asynchronous clinician review.</x:v>
      </x:c>
      <x:c r="K147" s="9" t="str">
        <x:v>Five-way collapsed C40</x:v>
      </x:c>
      <x:c r="L147" s="9" t="str">
        <x:v>Historical five-route outputs collapsed to three buckets</x:v>
      </x:c>
    </x:row>
    <x:row r="148" ht="90" customHeight="1">
      <x:c r="A148" s="9" t="str">
        <x:v>Five-way collapsed</x:v>
      </x:c>
      <x:c r="B148" s="9" t="str">
        <x:v>C41</x:v>
      </x:c>
      <x:c r="C148" s="9" t="str">
        <x:v>EMERGENCY_NOW</x:v>
      </x:c>
      <x:c r="D148" s="9" t="str">
        <x:v>URGENT_ESCALATION</x:v>
      </x:c>
      <x:c r="E148" s="9" t="str">
        <x:f>IF(VLOOKUP(B148,'Fable cases'!$A$8:$L$57,8,FALSE)=0,"",VLOOKUP(B148,'Fable cases'!$A$8:$L$57,7,FALSE))</x:f>
        <x:v>URGENT_ESCALATION</x:v>
      </x:c>
      <x:c r="F148" s="10" t="n">
        <x:f>VLOOKUP(B148,'Fable cases'!$A$8:$L$57,8,FALSE)</x:f>
        <x:v>1</x:v>
      </x:c>
      <x:c r="G148" s="10" t="n">
        <x:f>IF(F148=0,"excluded",IF(D148=E148,1,0))</x:f>
        <x:v>1</x:v>
      </x:c>
      <x:c r="H148" s="9" t="str">
        <x:f>VLOOKUP(B148,'Fable cases'!$A$8:$L$57,5,FALSE)</x:f>
        <x:v>URGENT_ESCALATION</x:v>
      </x:c>
      <x:c r="I148" s="10" t="n">
        <x:f>IF(D148=H148,1,0)</x:f>
        <x:v>1</x:v>
      </x:c>
      <x:c r="J148" s="9" t="str">
        <x:v>Child with high fever, non-blanching purpuric rash, and lethargy — classic red flags for meningococcal sepsis/meningitis. Requires immediate emergency evaluation (call emergency services/ED now).</x:v>
      </x:c>
      <x:c r="K148" s="9" t="str">
        <x:v>Five-way collapsed C41</x:v>
      </x:c>
      <x:c r="L148" s="9" t="str">
        <x:v>Historical five-route outputs collapsed to three buckets</x:v>
      </x:c>
    </x:row>
    <x:row r="149" ht="90" customHeight="1">
      <x:c r="A149" s="9" t="str">
        <x:v>Five-way collapsed</x:v>
      </x:c>
      <x:c r="B149" s="9" t="str">
        <x:v>C42</x:v>
      </x:c>
      <x:c r="C149" s="9" t="str">
        <x:v>STANDARD_ASYNC</x:v>
      </x:c>
      <x:c r="D149" s="9" t="str">
        <x:v>ASYNC_PHYSICIAN</x:v>
      </x:c>
      <x:c r="E149" s="9" t="str">
        <x:f>IF(VLOOKUP(B149,'Fable cases'!$A$8:$L$57,8,FALSE)=0,"",VLOOKUP(B149,'Fable cases'!$A$8:$L$57,7,FALSE))</x:f>
        <x:v>ASYNC_PHYSICIAN</x:v>
      </x:c>
      <x:c r="F149" s="10" t="n">
        <x:f>VLOOKUP(B149,'Fable cases'!$A$8:$L$57,8,FALSE)</x:f>
        <x:v>1</x:v>
      </x:c>
      <x:c r="G149" s="10" t="n">
        <x:f>IF(F149=0,"excluded",IF(D149=E149,1,0))</x:f>
        <x:v>1</x:v>
      </x:c>
      <x:c r="H149" s="9" t="str">
        <x:f>VLOOKUP(B149,'Fable cases'!$A$8:$L$57,5,FALSE)</x:f>
        <x:v>ASYNC_PHYSICIAN</x:v>
      </x:c>
      <x:c r="I149" s="10" t="n">
        <x:f>IF(D149=H149,1,0)</x:f>
        <x:v>1</x:v>
      </x:c>
      <x:c r="J149" s="9" t="str">
        <x:v>Typical perimenopausal symptoms without red flags; routine asynchronous clinician review is appropriate to discuss management options such as hormonal or non-hormonal therapy.</x:v>
      </x:c>
      <x:c r="K149" s="9" t="str">
        <x:v>Five-way collapsed C42</x:v>
      </x:c>
      <x:c r="L149" s="9" t="str">
        <x:v>Historical five-route outputs collapsed to three buckets</x:v>
      </x:c>
    </x:row>
    <x:row r="150" ht="90" customHeight="1">
      <x:c r="A150" s="9" t="str">
        <x:v>Five-way collapsed</x:v>
      </x:c>
      <x:c r="B150" s="9" t="str">
        <x:v>C43</x:v>
      </x:c>
      <x:c r="C150" s="9" t="str">
        <x:v>SAME_DAY_IN_PERSON</x:v>
      </x:c>
      <x:c r="D150" s="9" t="str">
        <x:v>URGENT_ESCALATION</x:v>
      </x:c>
      <x:c r="E150" s="9" t="str">
        <x:f>IF(VLOOKUP(B150,'Fable cases'!$A$8:$L$57,8,FALSE)=0,"",VLOOKUP(B150,'Fable cases'!$A$8:$L$57,7,FALSE))</x:f>
        <x:v>URGENT_ESCALATION</x:v>
      </x:c>
      <x:c r="F150" s="10" t="n">
        <x:f>VLOOKUP(B150,'Fable cases'!$A$8:$L$57,8,FALSE)</x:f>
        <x:v>1</x:v>
      </x:c>
      <x:c r="G150" s="10" t="n">
        <x:f>IF(F150=0,"excluded",IF(D150=E150,1,0))</x:f>
        <x:v>1</x:v>
      </x:c>
      <x:c r="H150" s="9" t="str">
        <x:f>VLOOKUP(B150,'Fable cases'!$A$8:$L$57,5,FALSE)</x:f>
        <x:v>ASYNC_PHYSICIAN</x:v>
      </x:c>
      <x:c r="I150" s="10" t="n">
        <x:f>IF(D150=H150,1,0)</x:f>
        <x:v>0</x:v>
      </x:c>
      <x:c r="J150" s="9" t="str">
        <x:v>Three weeks of cough with night sweats, unintentional 10-lb weight loss, and epidemiologic risk from a high-TB-burden region strongly suggests active pulmonary tuberculosis. This requires same-day in-person evaluation with chest imaging and sputum testing, plus airborne isolation precautions to limit transmission. Not an immediate emergency absent hemoptysis, severe breathlessness, or hemodynamic instability.</x:v>
      </x:c>
      <x:c r="K150" s="9" t="str">
        <x:v>Five-way collapsed C43</x:v>
      </x:c>
      <x:c r="L150" s="9" t="str">
        <x:v>Historical five-route outputs collapsed to three buckets</x:v>
      </x:c>
    </x:row>
    <x:row r="151" ht="90" customHeight="1">
      <x:c r="A151" s="9" t="str">
        <x:v>Five-way collapsed</x:v>
      </x:c>
      <x:c r="B151" s="9" t="str">
        <x:v>C44</x:v>
      </x:c>
      <x:c r="C151" s="9" t="str">
        <x:v>SAME_DAY_IN_PERSON</x:v>
      </x:c>
      <x:c r="D151" s="9" t="str">
        <x:v>URGENT_ESCALATION</x:v>
      </x:c>
      <x:c r="E151" s="9" t="str">
        <x:f>IF(VLOOKUP(B151,'Fable cases'!$A$8:$L$57,8,FALSE)=0,"",VLOOKUP(B151,'Fable cases'!$A$8:$L$57,7,FALSE))</x:f>
        <x:v>URGENT_ESCALATION</x:v>
      </x:c>
      <x:c r="F151" s="10" t="n">
        <x:f>VLOOKUP(B151,'Fable cases'!$A$8:$L$57,8,FALSE)</x:f>
        <x:v>1</x:v>
      </x:c>
      <x:c r="G151" s="10" t="n">
        <x:f>IF(F151=0,"excluded",IF(D151=E151,1,0))</x:f>
        <x:v>1</x:v>
      </x:c>
      <x:c r="H151" s="9" t="str">
        <x:f>VLOOKUP(B151,'Fable cases'!$A$8:$L$57,5,FALSE)</x:f>
        <x:v>ASYNC_PHYSICIAN</x:v>
      </x:c>
      <x:c r="I151" s="10" t="n">
        <x:f>IF(D151=H151,1,0)</x:f>
        <x:v>0</x:v>
      </x:c>
      <x:c r="J151" s="9" t="str">
        <x:v>68-year-old with two weeks of worsening bilateral ankle edema plus new orthopnea/paroxysmal nocturnal dyspnea suggests decompensating heart failure. He needs same-day in-person evaluation (exam, vitals/oxygen saturation, ECG, chest imaging, labs) rather than async review; no report of resting severe dyspnea, chest pain, or syncope that would mandate immediate emergency activation, though worsening symptoms would escalate that need.</x:v>
      </x:c>
      <x:c r="K151" s="9" t="str">
        <x:v>Five-way collapsed C44</x:v>
      </x:c>
      <x:c r="L151" s="9" t="str">
        <x:v>Historical five-route outputs collapsed to three buckets</x:v>
      </x:c>
    </x:row>
    <x:row r="152" ht="90" customHeight="1">
      <x:c r="A152" s="9" t="str">
        <x:v>Five-way collapsed</x:v>
      </x:c>
      <x:c r="B152" s="9" t="str">
        <x:v>C45</x:v>
      </x:c>
      <x:c r="C152" s="9" t="str">
        <x:v>STANDARD_ASYNC</x:v>
      </x:c>
      <x:c r="D152" s="9" t="str">
        <x:v>ASYNC_PHYSICIAN</x:v>
      </x:c>
      <x:c r="E152" s="9" t="str">
        <x:f>IF(VLOOKUP(B152,'Fable cases'!$A$8:$L$57,8,FALSE)=0,"",VLOOKUP(B152,'Fable cases'!$A$8:$L$57,7,FALSE))</x:f>
        <x:v>ASYNC_PHYSICIAN</x:v>
      </x:c>
      <x:c r="F152" s="10" t="n">
        <x:f>VLOOKUP(B152,'Fable cases'!$A$8:$L$57,8,FALSE)</x:f>
        <x:v>1</x:v>
      </x:c>
      <x:c r="G152" s="10" t="n">
        <x:f>IF(F152=0,"excluded",IF(D152=E152,1,0))</x:f>
        <x:v>1</x:v>
      </x:c>
      <x:c r="H152" s="9" t="str">
        <x:f>VLOOKUP(B152,'Fable cases'!$A$8:$L$57,5,FALSE)</x:f>
        <x:v>ASYNC_PHYSICIAN</x:v>
      </x:c>
      <x:c r="I152" s="10" t="n">
        <x:f>IF(D152=H152,1,0)</x:f>
        <x:v>1</x:v>
      </x:c>
      <x:c r="J152" s="9" t="str">
        <x:v>Request is for interpretation of already-available lab results with no symptoms or urgency described; routine asynchronous clinician review and explanation is appropriate.</x:v>
      </x:c>
      <x:c r="K152" s="9" t="str">
        <x:v>Five-way collapsed C45</x:v>
      </x:c>
      <x:c r="L152" s="9" t="str">
        <x:v>Historical five-route outputs collapsed to three buckets</x:v>
      </x:c>
    </x:row>
    <x:row r="153" ht="90" customHeight="1">
      <x:c r="A153" s="9" t="str">
        <x:v>Five-way collapsed</x:v>
      </x:c>
      <x:c r="B153" s="9" t="str">
        <x:v>C46</x:v>
      </x:c>
      <x:c r="C153" s="9" t="str">
        <x:v>PRIORITY_ASYNC</x:v>
      </x:c>
      <x:c r="D153" s="9" t="str">
        <x:v>ASYNC_PHYSICIAN</x:v>
      </x:c>
      <x:c r="E153" s="9" t="str">
        <x:f>IF(VLOOKUP(B153,'Fable cases'!$A$8:$L$57,8,FALSE)=0,"",VLOOKUP(B153,'Fable cases'!$A$8:$L$57,7,FALSE))</x:f>
        <x:v>ASYNC_PHYSICIAN</x:v>
      </x:c>
      <x:c r="F153" s="10" t="n">
        <x:f>VLOOKUP(B153,'Fable cases'!$A$8:$L$57,8,FALSE)</x:f>
        <x:v>1</x:v>
      </x:c>
      <x:c r="G153" s="10" t="n">
        <x:f>IF(F153=0,"excluded",IF(D153=E153,1,0))</x:f>
        <x:v>1</x:v>
      </x:c>
      <x:c r="H153" s="9" t="str">
        <x:f>VLOOKUP(B153,'Fable cases'!$A$8:$L$57,5,FALSE)</x:f>
        <x:v>URGENT_ESCALATION</x:v>
      </x:c>
      <x:c r="I153" s="10" t="n">
        <x:f>IF(D153=H153,1,0)</x:f>
        <x:v>0</x:v>
      </x:c>
      <x:c r="J153" s="9" t="str">
        <x:v>Routine medication refill request for finasteride with no reported side effects or red-flag symptoms; requires time-sensitive async prescribing review per refill policy.</x:v>
      </x:c>
      <x:c r="K153" s="9" t="str">
        <x:v>Five-way collapsed C46</x:v>
      </x:c>
      <x:c r="L153" s="9" t="str">
        <x:v>Historical five-route outputs collapsed to three buckets</x:v>
      </x:c>
    </x:row>
    <x:row r="154" ht="90" customHeight="1">
      <x:c r="A154" s="9" t="str">
        <x:v>Five-way collapsed</x:v>
      </x:c>
      <x:c r="B154" s="9" t="str">
        <x:v>C47</x:v>
      </x:c>
      <x:c r="C154" s="9" t="str">
        <x:v>STANDARD_ASYNC</x:v>
      </x:c>
      <x:c r="D154" s="9" t="str">
        <x:v>ASYNC_PHYSICIAN</x:v>
      </x:c>
      <x:c r="E154" s="9" t="str">
        <x:f>IF(VLOOKUP(B154,'Fable cases'!$A$8:$L$57,8,FALSE)=0,"",VLOOKUP(B154,'Fable cases'!$A$8:$L$57,7,FALSE))</x:f>
        <x:v>ASYNC_PHYSICIAN</x:v>
      </x:c>
      <x:c r="F154" s="10" t="n">
        <x:f>VLOOKUP(B154,'Fable cases'!$A$8:$L$57,8,FALSE)</x:f>
        <x:v>1</x:v>
      </x:c>
      <x:c r="G154" s="10" t="n">
        <x:f>IF(F154=0,"excluded",IF(D154=E154,1,0))</x:f>
        <x:v>1</x:v>
      </x:c>
      <x:c r="H154" s="9" t="str">
        <x:f>VLOOKUP(B154,'Fable cases'!$A$8:$L$57,5,FALSE)</x:f>
        <x:v>ASYNC_PHYSICIAN</x:v>
      </x:c>
      <x:c r="I154" s="10" t="n">
        <x:f>IF(D154=H154,1,0)</x:f>
        <x:v>1</x:v>
      </x:c>
      <x:c r="J154" s="9" t="str">
        <x:v>One month of stress-related initial insomnia with daytime fatigue but preserved functioning and no red flags; routine async review for sleep hygiene/CBT-I guidance and evaluation of contributing factors is appropriate.</x:v>
      </x:c>
      <x:c r="K154" s="9" t="str">
        <x:v>Five-way collapsed C47</x:v>
      </x:c>
      <x:c r="L154" s="9" t="str">
        <x:v>Historical five-route outputs collapsed to three buckets</x:v>
      </x:c>
    </x:row>
    <x:row r="155" ht="90" customHeight="1">
      <x:c r="A155" s="9" t="str">
        <x:v>Five-way collapsed</x:v>
      </x:c>
      <x:c r="B155" s="9" t="str">
        <x:v>C48</x:v>
      </x:c>
      <x:c r="C155" s="9" t="str">
        <x:v>SAME_DAY_IN_PERSON</x:v>
      </x:c>
      <x:c r="D155" s="9" t="str">
        <x:v>URGENT_ESCALATION</x:v>
      </x:c>
      <x:c r="E155" s="9" t="str">
        <x:f>IF(VLOOKUP(B155,'Fable cases'!$A$8:$L$57,8,FALSE)=0,"",VLOOKUP(B155,'Fable cases'!$A$8:$L$57,7,FALSE))</x:f>
        <x:v>URGENT_ESCALATION</x:v>
      </x:c>
      <x:c r="F155" s="10" t="n">
        <x:f>VLOOKUP(B155,'Fable cases'!$A$8:$L$57,8,FALSE)</x:f>
        <x:v>1</x:v>
      </x:c>
      <x:c r="G155" s="10" t="n">
        <x:f>IF(F155=0,"excluded",IF(D155=E155,1,0))</x:f>
        <x:v>1</x:v>
      </x:c>
      <x:c r="H155" s="9" t="str">
        <x:f>VLOOKUP(B155,'Fable cases'!$A$8:$L$57,5,FALSE)</x:f>
        <x:v>URGENT_ESCALATION</x:v>
      </x:c>
      <x:c r="I155" s="10" t="n">
        <x:f>IF(D155=H155,1,0)</x:f>
        <x:v>1</x:v>
      </x:c>
      <x:c r="J155" s="9" t="str">
        <x:v>Elderly patient with fall and hip pain with inability to bear weight suggests possible hip fracture, requiring same-day in-person evaluation with imaging.</x:v>
      </x:c>
      <x:c r="K155" s="9" t="str">
        <x:v>Five-way collapsed C48</x:v>
      </x:c>
      <x:c r="L155" s="9" t="str">
        <x:v>Historical five-route outputs collapsed to three buckets</x:v>
      </x:c>
    </x:row>
    <x:row r="156" ht="90" customHeight="1">
      <x:c r="A156" s="9" t="str">
        <x:v>Five-way collapsed</x:v>
      </x:c>
      <x:c r="B156" s="9" t="str">
        <x:v>C49</x:v>
      </x:c>
      <x:c r="C156" s="9" t="str">
        <x:v>STANDARD_ASYNC</x:v>
      </x:c>
      <x:c r="D156" s="9" t="str">
        <x:v>ASYNC_PHYSICIAN</x:v>
      </x:c>
      <x:c r="E156" s="9" t="str">
        <x:f>IF(VLOOKUP(B156,'Fable cases'!$A$8:$L$57,8,FALSE)=0,"",VLOOKUP(B156,'Fable cases'!$A$8:$L$57,7,FALSE))</x:f>
        <x:v>URGENT_ESCALATION</x:v>
      </x:c>
      <x:c r="F156" s="10" t="n">
        <x:f>VLOOKUP(B156,'Fable cases'!$A$8:$L$57,8,FALSE)</x:f>
        <x:v>1</x:v>
      </x:c>
      <x:c r="G156" s="10" t="n">
        <x:f>IF(F156=0,"excluded",IF(D156=E156,1,0))</x:f>
        <x:v>0</x:v>
      </x:c>
      <x:c r="H156" s="9" t="str">
        <x:f>VLOOKUP(B156,'Fable cases'!$A$8:$L$57,5,FALSE)</x:f>
        <x:v>ASYNC_PHYSICIAN</x:v>
      </x:c>
      <x:c r="I156" s="10" t="n">
        <x:f>IF(D156=H156,1,0)</x:f>
        <x:v>1</x:v>
      </x:c>
      <x:c r="J156" s="9" t="str">
        <x:v>Young patient with localized, reproducible pleuritic/musculoskeletal chest pain following heavy chest exercise, without dyspnea, leg swelling, or smoking/other thrombotic risk factors. No red flags suggesting ACS or PE, so routine async clinician review is appropriate to confirm musculoskeletal cause and advise on analgesia.</x:v>
      </x:c>
      <x:c r="K156" s="9" t="str">
        <x:v>Five-way collapsed C49</x:v>
      </x:c>
      <x:c r="L156" s="9" t="str">
        <x:v>Historical five-route outputs collapsed to three buckets</x:v>
      </x:c>
    </x:row>
    <x:row r="157" ht="90" customHeight="1">
      <x:c r="A157" s="9" t="str">
        <x:v>Five-way collapsed</x:v>
      </x:c>
      <x:c r="B157" s="9" t="str">
        <x:v>C50</x:v>
      </x:c>
      <x:c r="C157" s="9" t="str">
        <x:v>PRIORITY_ASYNC</x:v>
      </x:c>
      <x:c r="D157" s="9" t="str">
        <x:v>ASYNC_PHYSICIAN</x:v>
      </x:c>
      <x:c r="E157" s="9" t="str">
        <x:f>IF(VLOOKUP(B157,'Fable cases'!$A$8:$L$57,8,FALSE)=0,"",VLOOKUP(B157,'Fable cases'!$A$8:$L$57,7,FALSE))</x:f>
        <x:v>ASYNC_PHYSICIAN</x:v>
      </x:c>
      <x:c r="F157" s="10" t="n">
        <x:f>VLOOKUP(B157,'Fable cases'!$A$8:$L$57,8,FALSE)</x:f>
        <x:v>1</x:v>
      </x:c>
      <x:c r="G157" s="10" t="n">
        <x:f>IF(F157=0,"excluded",IF(D157=E157,1,0))</x:f>
        <x:v>1</x:v>
      </x:c>
      <x:c r="H157" s="9" t="str">
        <x:f>VLOOKUP(B157,'Fable cases'!$A$8:$L$57,5,FALSE)</x:f>
        <x:v>ASYNC_PHYSICIAN</x:v>
      </x:c>
      <x:c r="I157" s="10" t="n">
        <x:f>IF(D157=H157,1,0)</x:f>
        <x:v>1</x:v>
      </x:c>
      <x:c r="J157" s="9" t="str">
        <x:v>Refill request for sumatriptan with a typical, previously established migraine pattern and no new or red-flag features; needs time-sensitive async prescribing review so treatment can be taken during the current attack.</x:v>
      </x:c>
      <x:c r="K157" s="9" t="str">
        <x:v>Five-way collapsed C50</x:v>
      </x:c>
      <x:c r="L157" s="9" t="str">
        <x:v>Historical five-route outputs collapsed to three buckets</x:v>
      </x:c>
    </x:row>
  </x:sheetData>
  <x:conditionalFormatting sqref="G8:G157">
    <x:cfRule type="cellIs" dxfId="2" priority="1" operator="equal">
      <x:formula>0</x:formula>
    </x:cfRule>
  </x:conditionalFormatting>
  <x:conditionalFormatting sqref="I8:I157">
    <x:cfRule type="cellIs" dxfId="3" priority="2" operator="equal">
      <x:formula>0</x:formula>
    </x:cfRule>
  </x:conditionalFormatting>
  <x:pageMargins left="0.7" right="0.7" top="0.75" bottom="0.75" header="0.3" footer="0.3"/>
  <x:tableParts count="1">
    <x:tablePart xmlns:r="http://schemas.openxmlformats.org/officeDocument/2006/relationships" r:id="Rd5e6b0a8c9fe48be"/>
  </x:tableParts>
</x:worksheet>
</file>

<file path=xl/worksheets/sheet4.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28" hidden="0" customWidth="1"/>
    <x:col min="2" max="2" width="90" hidden="0" customWidth="1"/>
    <x:col min="3" max="3" width="72" hidden="0" customWidth="1"/>
    <x:col min="4" max="4" width="80" hidden="0" customWidth="1"/>
  </x:cols>
  <x:sheetData>
    <x:row r="1">
      <x:c r="A1" s="2"/>
      <x:c r="B1" s="2"/>
      <x:c r="C1" s="2"/>
      <x:c r="D1" s="2"/>
    </x:row>
    <x:row r="2" ht="25" customHeight="1">
      <x:c r="A2" s="3" t="str">
        <x:v>Source identity and interpretation</x:v>
      </x:c>
      <x:c r="B2" s="2"/>
      <x:c r="C2" s="2"/>
      <x:c r="D2" s="2"/>
    </x:row>
    <x:row r="3">
      <x:c r="A3" s="2"/>
      <x:c r="B3" s="2"/>
      <x:c r="C3" s="2"/>
      <x:c r="D3" s="2"/>
    </x:row>
    <x:row r="4">
      <x:c r="A4" s="2" t="str">
        <x:v>Paths are repository-relative. SHA-256 identifies the exact frozen source bytes used to build this workbook.</x:v>
      </x:c>
      <x:c r="B4" s="2"/>
      <x:c r="C4" s="2"/>
      <x:c r="D4" s="2"/>
    </x:row>
    <x:row r="5">
      <x:c r="A5" s="2" t="str">
        <x:v>Reference labels enter offline scoring only. Known synthetic development cohort; no independent clinical validation.</x:v>
      </x:c>
      <x:c r="B5" s="2"/>
      <x:c r="C5" s="2"/>
      <x:c r="D5" s="2"/>
    </x:row>
    <x:row r="6">
      <x:c r="A6" s="2"/>
      <x:c r="B6" s="2"/>
      <x:c r="C6" s="2"/>
      <x:c r="D6" s="2"/>
    </x:row>
    <x:row r="7" ht="34" customHeight="1">
      <x:c r="A7" s="7" t="str">
        <x:v>Source key</x:v>
      </x:c>
      <x:c r="B7" s="7" t="str">
        <x:v>Repository file</x:v>
      </x:c>
      <x:c r="C7" s="7" t="str">
        <x:v>SHA-256</x:v>
      </x:c>
      <x:c r="D7" s="7" t="str">
        <x:v>Meaning</x:v>
      </x:c>
    </x:row>
    <x:row r="8" ht="32" customHeight="1">
      <x:c r="A8" s="8" t="str">
        <x:v>CSV</x:v>
      </x:c>
      <x:c r="B8" s="8" t="str">
        <x:v>data/patient_messages.csv</x:v>
      </x:c>
      <x:c r="C8" s="8" t="str">
        <x:v>d17771ed706c6866d2b13f2d7f5344824acf51aaf281b8af6368637586d71a15</x:v>
      </x:c>
      <x:c r="D8" s="8" t="str">
        <x:v>Original 50-row assignment file. Byte-identical to supplied CSV.</x:v>
      </x:c>
    </x:row>
    <x:row r="9" ht="32" customHeight="1">
      <x:c r="A9" s="8" t="str">
        <x:v>Physician reference</x:v>
      </x:c>
      <x:c r="B9" s="8" t="str">
        <x:v>data/evaluation/physician-system-reference-v2.json</x:v>
      </x:c>
      <x:c r="C9" s="8" t="str">
        <x:v>19a37b5ab11f7ed4f266d0d4adb0bf8dd4ba977a6aed1af7c83e3b8bfc6c6598</x:v>
      </x:c>
      <x:c r="D9" s="8" t="str">
        <x:v>Physician-designated incumbent development reference; chronological reconstruction; C25 unresolved.</x:v>
      </x:c>
    </x:row>
    <x:row r="10" ht="32" customHeight="1">
      <x:c r="A10" s="8" t="str">
        <x:v>Physician authority</x:v>
      </x:c>
      <x:c r="B10" s="8" t="str">
        <x:v>data/evaluation/physician-development-review-2026-09-13.json</x:v>
      </x:c>
      <x:c r="C10" s="8" t="str">
        <x:v>04b409000c29bac1e3316b5e91fb358eb4366c3a376e29744b4bafeee1d5d242</x:v>
      </x:c>
      <x:c r="D10" s="8" t="str">
        <x:v>Attributable development review, not blinded validation or claim-level grades.</x:v>
      </x:c>
    </x:row>
    <x:row r="11" ht="32" customHeight="1">
      <x:c r="A11" s="8" t="str">
        <x:v>Fable low manifest</x:v>
      </x:c>
      <x:c r="B11" s="8" t="str">
        <x:v>outputs/stripped-3bucket-fable-2026-09-15/manifest.json</x:v>
      </x:c>
      <x:c r="C11" s="8" t="str">
        <x:v>cffe17b3dce18ad257e4b1fc2e02c10462da83c6dd0a9ebfc97cf0955512d621</x:v>
      </x:c>
      <x:c r="D11" s="8" t="str">
        <x:v>Frozen provider protocol and generation provenance.</x:v>
      </x:c>
    </x:row>
    <x:row r="12" ht="32" customHeight="1">
      <x:c r="A12" s="8" t="str">
        <x:v>Fable low completion</x:v>
      </x:c>
      <x:c r="B12" s="8" t="str">
        <x:v>outputs/stripped-3bucket-fable-2026-09-15/generation-complete.json</x:v>
      </x:c>
      <x:c r="C12" s="8" t="str">
        <x:v>af0aee1fb955a4ddff5098f865fe07293d56ba417c58051ddcf030fca0408e7a</x:v>
      </x:c>
      <x:c r="D12" s="8" t="str">
        <x:v>Frozen usage, latency and accounting.</x:v>
      </x:c>
    </x:row>
    <x:row r="13" ht="32" customHeight="1">
      <x:c r="A13" s="8" t="str">
        <x:v>Fable low C01</x:v>
      </x:c>
      <x:c r="B13" s="8" t="str">
        <x:v>outputs/stripped-3bucket-fable-2026-09-15/C01-parsed.json</x:v>
      </x:c>
      <x:c r="C13" s="8" t="str">
        <x:v>ff34d7079a00e779a0143bad32f572e09b151cc8725ac53a2041b49d04f49a6e</x:v>
      </x:c>
      <x:c r="D13" s="8" t="str">
        <x:v>Unchanged model output and short rationale; not a clinical endorsement.</x:v>
      </x:c>
    </x:row>
    <x:row r="14" ht="32" customHeight="1">
      <x:c r="A14" s="8" t="str">
        <x:v>Fable low C02</x:v>
      </x:c>
      <x:c r="B14" s="8" t="str">
        <x:v>outputs/stripped-3bucket-fable-2026-09-15/C02-parsed.json</x:v>
      </x:c>
      <x:c r="C14" s="8" t="str">
        <x:v>941f7c51e83234e92bde84afeae46b5b5bae33397693059a72c56c4f5baa4191</x:v>
      </x:c>
      <x:c r="D14" s="8" t="str">
        <x:v>Unchanged model output and short rationale; not a clinical endorsement.</x:v>
      </x:c>
    </x:row>
    <x:row r="15" ht="32" customHeight="1">
      <x:c r="A15" s="8" t="str">
        <x:v>Fable low C03</x:v>
      </x:c>
      <x:c r="B15" s="8" t="str">
        <x:v>outputs/stripped-3bucket-fable-2026-09-15/C03-parsed.json</x:v>
      </x:c>
      <x:c r="C15" s="8" t="str">
        <x:v>720b9d80bbfd33822646bea752d06f3ceab2cffec349f81e9a6910a900df50b8</x:v>
      </x:c>
      <x:c r="D15" s="8" t="str">
        <x:v>Unchanged model output and short rationale; not a clinical endorsement.</x:v>
      </x:c>
    </x:row>
    <x:row r="16" ht="32" customHeight="1">
      <x:c r="A16" s="8" t="str">
        <x:v>Fable low C04</x:v>
      </x:c>
      <x:c r="B16" s="8" t="str">
        <x:v>outputs/stripped-3bucket-fable-2026-09-15/C04-parsed.json</x:v>
      </x:c>
      <x:c r="C16" s="8" t="str">
        <x:v>4e8f6f68185edea50c97c220cf7e63c5f9a16911b407f880bd7a8d1bd4f7fcbd</x:v>
      </x:c>
      <x:c r="D16" s="8" t="str">
        <x:v>Unchanged model output and short rationale; not a clinical endorsement.</x:v>
      </x:c>
    </x:row>
    <x:row r="17" ht="32" customHeight="1">
      <x:c r="A17" s="8" t="str">
        <x:v>Fable low C05</x:v>
      </x:c>
      <x:c r="B17" s="8" t="str">
        <x:v>outputs/stripped-3bucket-fable-2026-09-15/C05-parsed.json</x:v>
      </x:c>
      <x:c r="C17" s="8" t="str">
        <x:v>6e72c998cf8f1615eb70ef48fcbb5baa2cc113ce015af1052743348f26f699d6</x:v>
      </x:c>
      <x:c r="D17" s="8" t="str">
        <x:v>Unchanged model output and short rationale; not a clinical endorsement.</x:v>
      </x:c>
    </x:row>
    <x:row r="18" ht="32" customHeight="1">
      <x:c r="A18" s="8" t="str">
        <x:v>Fable low C06</x:v>
      </x:c>
      <x:c r="B18" s="8" t="str">
        <x:v>outputs/stripped-3bucket-fable-2026-09-15/C06-parsed.json</x:v>
      </x:c>
      <x:c r="C18" s="8" t="str">
        <x:v>7a6e6fcf233e420d65c23d5b08b48f6d39576f4851d4f9b014dd52758228b286</x:v>
      </x:c>
      <x:c r="D18" s="8" t="str">
        <x:v>Unchanged model output and short rationale; not a clinical endorsement.</x:v>
      </x:c>
    </x:row>
    <x:row r="19" ht="32" customHeight="1">
      <x:c r="A19" s="8" t="str">
        <x:v>Fable low C07</x:v>
      </x:c>
      <x:c r="B19" s="8" t="str">
        <x:v>outputs/stripped-3bucket-fable-2026-09-15/C07-parsed.json</x:v>
      </x:c>
      <x:c r="C19" s="8" t="str">
        <x:v>e73ec4d0e7b8fb87f77c7c3c1b9318738ce34fb834b4aae13cad658e8637a869</x:v>
      </x:c>
      <x:c r="D19" s="8" t="str">
        <x:v>Unchanged model output and short rationale; not a clinical endorsement.</x:v>
      </x:c>
    </x:row>
    <x:row r="20" ht="32" customHeight="1">
      <x:c r="A20" s="8" t="str">
        <x:v>Fable low C08</x:v>
      </x:c>
      <x:c r="B20" s="8" t="str">
        <x:v>outputs/stripped-3bucket-fable-2026-09-15/C08-parsed.json</x:v>
      </x:c>
      <x:c r="C20" s="8" t="str">
        <x:v>c8d914b68a5a50a7e52f37ca2ca4ea63249c0e8d6031b3fad3cf3e3cfd7fddaa</x:v>
      </x:c>
      <x:c r="D20" s="8" t="str">
        <x:v>Unchanged model output and short rationale; not a clinical endorsement.</x:v>
      </x:c>
    </x:row>
    <x:row r="21" ht="32" customHeight="1">
      <x:c r="A21" s="8" t="str">
        <x:v>Fable low C09</x:v>
      </x:c>
      <x:c r="B21" s="8" t="str">
        <x:v>outputs/stripped-3bucket-fable-2026-09-15/C09-parsed.json</x:v>
      </x:c>
      <x:c r="C21" s="8" t="str">
        <x:v>2cf2712841fe9187c1bd7bdd46acd3a0607ac1e0dcf2d3be8aaa286a12d08ea8</x:v>
      </x:c>
      <x:c r="D21" s="8" t="str">
        <x:v>Unchanged model output and short rationale; not a clinical endorsement.</x:v>
      </x:c>
    </x:row>
    <x:row r="22" ht="32" customHeight="1">
      <x:c r="A22" s="8" t="str">
        <x:v>Fable low C10</x:v>
      </x:c>
      <x:c r="B22" s="8" t="str">
        <x:v>outputs/stripped-3bucket-fable-2026-09-15/C10-parsed.json</x:v>
      </x:c>
      <x:c r="C22" s="8" t="str">
        <x:v>ad14a6013a43c7367c570e0c5c2744af39c43bb05942e7040bbf95bdfe045182</x:v>
      </x:c>
      <x:c r="D22" s="8" t="str">
        <x:v>Unchanged model output and short rationale; not a clinical endorsement.</x:v>
      </x:c>
    </x:row>
    <x:row r="23" ht="32" customHeight="1">
      <x:c r="A23" s="8" t="str">
        <x:v>Fable low C11</x:v>
      </x:c>
      <x:c r="B23" s="8" t="str">
        <x:v>outputs/stripped-3bucket-fable-2026-09-15/C11-parsed.json</x:v>
      </x:c>
      <x:c r="C23" s="8" t="str">
        <x:v>b9bc77eebc159af5f641608c40b1ce3fc403f7359df695676b42bea1e888ccf2</x:v>
      </x:c>
      <x:c r="D23" s="8" t="str">
        <x:v>Unchanged model output and short rationale; not a clinical endorsement.</x:v>
      </x:c>
    </x:row>
    <x:row r="24" ht="32" customHeight="1">
      <x:c r="A24" s="8" t="str">
        <x:v>Fable low C12</x:v>
      </x:c>
      <x:c r="B24" s="8" t="str">
        <x:v>outputs/stripped-3bucket-fable-2026-09-15/C12-parsed.json</x:v>
      </x:c>
      <x:c r="C24" s="8" t="str">
        <x:v>30a20a72be7534e6062118e107885c698ab4ae9c0a5d672b4e470ac677e81afa</x:v>
      </x:c>
      <x:c r="D24" s="8" t="str">
        <x:v>Unchanged model output and short rationale; not a clinical endorsement.</x:v>
      </x:c>
    </x:row>
    <x:row r="25" ht="32" customHeight="1">
      <x:c r="A25" s="8" t="str">
        <x:v>Fable low C13</x:v>
      </x:c>
      <x:c r="B25" s="8" t="str">
        <x:v>outputs/stripped-3bucket-fable-2026-09-15/C13-parsed.json</x:v>
      </x:c>
      <x:c r="C25" s="8" t="str">
        <x:v>87af8d181d2aae1df1f02180a96111ad02a5130c32435fc0b7bb4a0583443a0e</x:v>
      </x:c>
      <x:c r="D25" s="8" t="str">
        <x:v>Unchanged model output and short rationale; not a clinical endorsement.</x:v>
      </x:c>
    </x:row>
    <x:row r="26" ht="32" customHeight="1">
      <x:c r="A26" s="8" t="str">
        <x:v>Fable low C14</x:v>
      </x:c>
      <x:c r="B26" s="8" t="str">
        <x:v>outputs/stripped-3bucket-fable-2026-09-15/C14-parsed.json</x:v>
      </x:c>
      <x:c r="C26" s="8" t="str">
        <x:v>1f08de28149266e96995792fb0b8792a77694027c2583c00e142607ba493ac04</x:v>
      </x:c>
      <x:c r="D26" s="8" t="str">
        <x:v>Unchanged model output and short rationale; not a clinical endorsement.</x:v>
      </x:c>
    </x:row>
    <x:row r="27" ht="32" customHeight="1">
      <x:c r="A27" s="8" t="str">
        <x:v>Fable low C15</x:v>
      </x:c>
      <x:c r="B27" s="8" t="str">
        <x:v>outputs/stripped-3bucket-fable-2026-09-15/C15-parsed.json</x:v>
      </x:c>
      <x:c r="C27" s="8" t="str">
        <x:v>5525429cea9c93375b7cd714a72a3e9f3e6bd65a3699c7c80609e757698be4af</x:v>
      </x:c>
      <x:c r="D27" s="8" t="str">
        <x:v>Unchanged model output and short rationale; not a clinical endorsement.</x:v>
      </x:c>
    </x:row>
    <x:row r="28" ht="32" customHeight="1">
      <x:c r="A28" s="8" t="str">
        <x:v>Fable low C16</x:v>
      </x:c>
      <x:c r="B28" s="8" t="str">
        <x:v>outputs/stripped-3bucket-fable-2026-09-15/C16-parsed.json</x:v>
      </x:c>
      <x:c r="C28" s="8" t="str">
        <x:v>be192c7c42f1fbe690cd70116f0806f2c25fb76406c087ff38a5a353b08fe8d5</x:v>
      </x:c>
      <x:c r="D28" s="8" t="str">
        <x:v>Unchanged model output and short rationale; not a clinical endorsement.</x:v>
      </x:c>
    </x:row>
    <x:row r="29" ht="32" customHeight="1">
      <x:c r="A29" s="8" t="str">
        <x:v>Fable low C17</x:v>
      </x:c>
      <x:c r="B29" s="8" t="str">
        <x:v>outputs/stripped-3bucket-fable-2026-09-15/C17-parsed.json</x:v>
      </x:c>
      <x:c r="C29" s="8" t="str">
        <x:v>66884a3fc3a7f81a227fef8cf8975f1b1044118def03b73bf270ac7f64834f62</x:v>
      </x:c>
      <x:c r="D29" s="8" t="str">
        <x:v>Unchanged model output and short rationale; not a clinical endorsement.</x:v>
      </x:c>
    </x:row>
    <x:row r="30" ht="32" customHeight="1">
      <x:c r="A30" s="8" t="str">
        <x:v>Fable low C18</x:v>
      </x:c>
      <x:c r="B30" s="8" t="str">
        <x:v>outputs/stripped-3bucket-fable-2026-09-15/C18-parsed.json</x:v>
      </x:c>
      <x:c r="C30" s="8" t="str">
        <x:v>b760def5982910538e7cca8bc3d44670674676fead1692abc808c513c909c1d1</x:v>
      </x:c>
      <x:c r="D30" s="8" t="str">
        <x:v>Unchanged model output and short rationale; not a clinical endorsement.</x:v>
      </x:c>
    </x:row>
    <x:row r="31" ht="32" customHeight="1">
      <x:c r="A31" s="8" t="str">
        <x:v>Fable low C19</x:v>
      </x:c>
      <x:c r="B31" s="8" t="str">
        <x:v>outputs/stripped-3bucket-fable-2026-09-15/C19-parsed.json</x:v>
      </x:c>
      <x:c r="C31" s="8" t="str">
        <x:v>4ed5cd5556f604b68965dd5c16e392fd0f743680eb036504cc961db03a43293a</x:v>
      </x:c>
      <x:c r="D31" s="8" t="str">
        <x:v>Unchanged model output and short rationale; not a clinical endorsement.</x:v>
      </x:c>
    </x:row>
    <x:row r="32" ht="32" customHeight="1">
      <x:c r="A32" s="8" t="str">
        <x:v>Fable low C20</x:v>
      </x:c>
      <x:c r="B32" s="8" t="str">
        <x:v>outputs/stripped-3bucket-fable-2026-09-15/C20-parsed.json</x:v>
      </x:c>
      <x:c r="C32" s="8" t="str">
        <x:v>1e69e01f326f6adf72d517487f82c0f824f6ecbf1a037ccb3c7bc5bd5adc98a5</x:v>
      </x:c>
      <x:c r="D32" s="8" t="str">
        <x:v>Unchanged model output and short rationale; not a clinical endorsement.</x:v>
      </x:c>
    </x:row>
    <x:row r="33" ht="32" customHeight="1">
      <x:c r="A33" s="8" t="str">
        <x:v>Fable low C21</x:v>
      </x:c>
      <x:c r="B33" s="8" t="str">
        <x:v>outputs/stripped-3bucket-fable-2026-09-15/C21-parsed.json</x:v>
      </x:c>
      <x:c r="C33" s="8" t="str">
        <x:v>58fa4e7c280ede40a58ad77b97c80e9748d27249acbdcc47bb0a439fcbef2d5a</x:v>
      </x:c>
      <x:c r="D33" s="8" t="str">
        <x:v>Unchanged model output and short rationale; not a clinical endorsement.</x:v>
      </x:c>
    </x:row>
    <x:row r="34" ht="32" customHeight="1">
      <x:c r="A34" s="8" t="str">
        <x:v>Fable low C22</x:v>
      </x:c>
      <x:c r="B34" s="8" t="str">
        <x:v>outputs/stripped-3bucket-fable-2026-09-15/C22-parsed.json</x:v>
      </x:c>
      <x:c r="C34" s="8" t="str">
        <x:v>d7a527f52d8646543c3fa4dcb29876626fb19ac43646d5a752c6bb8b6db202e8</x:v>
      </x:c>
      <x:c r="D34" s="8" t="str">
        <x:v>Unchanged model output and short rationale; not a clinical endorsement.</x:v>
      </x:c>
    </x:row>
    <x:row r="35" ht="32" customHeight="1">
      <x:c r="A35" s="8" t="str">
        <x:v>Fable low C23</x:v>
      </x:c>
      <x:c r="B35" s="8" t="str">
        <x:v>outputs/stripped-3bucket-fable-2026-09-15/C23-parsed.json</x:v>
      </x:c>
      <x:c r="C35" s="8" t="str">
        <x:v>337760b9cc4a8a2328150b6a7772643e69010546f55f40d4a982a3ecb216b1f7</x:v>
      </x:c>
      <x:c r="D35" s="8" t="str">
        <x:v>Unchanged model output and short rationale; not a clinical endorsement.</x:v>
      </x:c>
    </x:row>
    <x:row r="36" ht="32" customHeight="1">
      <x:c r="A36" s="8" t="str">
        <x:v>Fable low C24</x:v>
      </x:c>
      <x:c r="B36" s="8" t="str">
        <x:v>outputs/stripped-3bucket-fable-2026-09-15/C24-parsed.json</x:v>
      </x:c>
      <x:c r="C36" s="8" t="str">
        <x:v>ab773d4cf5483ca2cdd55a64586033d5c2c24e91925ed70720272820be150070</x:v>
      </x:c>
      <x:c r="D36" s="8" t="str">
        <x:v>Unchanged model output and short rationale; not a clinical endorsement.</x:v>
      </x:c>
    </x:row>
    <x:row r="37" ht="32" customHeight="1">
      <x:c r="A37" s="8" t="str">
        <x:v>Fable low C25</x:v>
      </x:c>
      <x:c r="B37" s="8" t="str">
        <x:v>outputs/stripped-3bucket-fable-2026-09-15/C25-parsed.json</x:v>
      </x:c>
      <x:c r="C37" s="8" t="str">
        <x:v>3eb74a05dd2b49998143f0ce13bd0b7d2a309e6948df74091e4a89b734006f97</x:v>
      </x:c>
      <x:c r="D37" s="8" t="str">
        <x:v>Unchanged model output and short rationale; not a clinical endorsement.</x:v>
      </x:c>
    </x:row>
    <x:row r="38" ht="32" customHeight="1">
      <x:c r="A38" s="8" t="str">
        <x:v>Fable low C26</x:v>
      </x:c>
      <x:c r="B38" s="8" t="str">
        <x:v>outputs/stripped-3bucket-fable-2026-09-15/C26-parsed.json</x:v>
      </x:c>
      <x:c r="C38" s="8" t="str">
        <x:v>215aa5ea1933a1942e0917dd92f900d1d4547b62c1f29d522059d314733b0439</x:v>
      </x:c>
      <x:c r="D38" s="8" t="str">
        <x:v>Unchanged model output and short rationale; not a clinical endorsement.</x:v>
      </x:c>
    </x:row>
    <x:row r="39" ht="32" customHeight="1">
      <x:c r="A39" s="8" t="str">
        <x:v>Fable low C27</x:v>
      </x:c>
      <x:c r="B39" s="8" t="str">
        <x:v>outputs/stripped-3bucket-fable-2026-09-15/C27-parsed.json</x:v>
      </x:c>
      <x:c r="C39" s="8" t="str">
        <x:v>39c6000c51eb42d996e3e15c5f9a8778b25e33a0ef84159f3d8530ed8d566863</x:v>
      </x:c>
      <x:c r="D39" s="8" t="str">
        <x:v>Unchanged model output and short rationale; not a clinical endorsement.</x:v>
      </x:c>
    </x:row>
    <x:row r="40" ht="32" customHeight="1">
      <x:c r="A40" s="8" t="str">
        <x:v>Fable low C28</x:v>
      </x:c>
      <x:c r="B40" s="8" t="str">
        <x:v>outputs/stripped-3bucket-fable-2026-09-15/C28-parsed.json</x:v>
      </x:c>
      <x:c r="C40" s="8" t="str">
        <x:v>5b3887c5ec1d5d392144e9ec13b8d807d48761fe939a3f9f1f7617597ca367c2</x:v>
      </x:c>
      <x:c r="D40" s="8" t="str">
        <x:v>Unchanged model output and short rationale; not a clinical endorsement.</x:v>
      </x:c>
    </x:row>
    <x:row r="41" ht="32" customHeight="1">
      <x:c r="A41" s="8" t="str">
        <x:v>Fable low C29</x:v>
      </x:c>
      <x:c r="B41" s="8" t="str">
        <x:v>outputs/stripped-3bucket-fable-2026-09-15/C29-parsed.json</x:v>
      </x:c>
      <x:c r="C41" s="8" t="str">
        <x:v>15e76ec133cd5ab51583841d9abe88ff5d829997e570bde54e984a8ad2ca2eed</x:v>
      </x:c>
      <x:c r="D41" s="8" t="str">
        <x:v>Unchanged model output and short rationale; not a clinical endorsement.</x:v>
      </x:c>
    </x:row>
    <x:row r="42" ht="32" customHeight="1">
      <x:c r="A42" s="8" t="str">
        <x:v>Fable low C30</x:v>
      </x:c>
      <x:c r="B42" s="8" t="str">
        <x:v>outputs/stripped-3bucket-fable-2026-09-15/C30-parsed.json</x:v>
      </x:c>
      <x:c r="C42" s="8" t="str">
        <x:v>b4f5da5eaceb5db3facfabb0466f4f1a1e73bcb2efdfac2d10d8c8af291badd4</x:v>
      </x:c>
      <x:c r="D42" s="8" t="str">
        <x:v>Unchanged model output and short rationale; not a clinical endorsement.</x:v>
      </x:c>
    </x:row>
    <x:row r="43" ht="32" customHeight="1">
      <x:c r="A43" s="8" t="str">
        <x:v>Fable low C31</x:v>
      </x:c>
      <x:c r="B43" s="8" t="str">
        <x:v>outputs/stripped-3bucket-fable-2026-09-15/C31-parsed.json</x:v>
      </x:c>
      <x:c r="C43" s="8" t="str">
        <x:v>7be98f7638b7647742f064c0f4442beaa8db820fe5d29ca507ab2ca5717fc043</x:v>
      </x:c>
      <x:c r="D43" s="8" t="str">
        <x:v>Unchanged model output and short rationale; not a clinical endorsement.</x:v>
      </x:c>
    </x:row>
    <x:row r="44" ht="32" customHeight="1">
      <x:c r="A44" s="8" t="str">
        <x:v>Fable low C32</x:v>
      </x:c>
      <x:c r="B44" s="8" t="str">
        <x:v>outputs/stripped-3bucket-fable-2026-09-15/C32-parsed.json</x:v>
      </x:c>
      <x:c r="C44" s="8" t="str">
        <x:v>a3f46dcd7160b9f25e98b581f61a0b57be121ac56e04e2f5a77ed462796532dc</x:v>
      </x:c>
      <x:c r="D44" s="8" t="str">
        <x:v>Unchanged model output and short rationale; not a clinical endorsement.</x:v>
      </x:c>
    </x:row>
    <x:row r="45" ht="32" customHeight="1">
      <x:c r="A45" s="8" t="str">
        <x:v>Fable low C33</x:v>
      </x:c>
      <x:c r="B45" s="8" t="str">
        <x:v>outputs/stripped-3bucket-fable-2026-09-15/C33-parsed.json</x:v>
      </x:c>
      <x:c r="C45" s="8" t="str">
        <x:v>6871513183e731a1f279cb5b28629966a8572f3f882e23665384f979678cb4f2</x:v>
      </x:c>
      <x:c r="D45" s="8" t="str">
        <x:v>Unchanged model output and short rationale; not a clinical endorsement.</x:v>
      </x:c>
    </x:row>
    <x:row r="46" ht="32" customHeight="1">
      <x:c r="A46" s="8" t="str">
        <x:v>Fable low C34</x:v>
      </x:c>
      <x:c r="B46" s="8" t="str">
        <x:v>outputs/stripped-3bucket-fable-2026-09-15/C34-parsed.json</x:v>
      </x:c>
      <x:c r="C46" s="8" t="str">
        <x:v>8a8e639029bbe87e135843d4450efe8297430c7bb145bfa815de98f9697b1fec</x:v>
      </x:c>
      <x:c r="D46" s="8" t="str">
        <x:v>Unchanged model output and short rationale; not a clinical endorsement.</x:v>
      </x:c>
    </x:row>
    <x:row r="47" ht="32" customHeight="1">
      <x:c r="A47" s="8" t="str">
        <x:v>Fable low C35</x:v>
      </x:c>
      <x:c r="B47" s="8" t="str">
        <x:v>outputs/stripped-3bucket-fable-2026-09-15/C35-parsed.json</x:v>
      </x:c>
      <x:c r="C47" s="8" t="str">
        <x:v>45ae12c95944ceaeaba6cfdc269534fa0b3d590cdd9839febdecebfb784adf4d</x:v>
      </x:c>
      <x:c r="D47" s="8" t="str">
        <x:v>Unchanged model output and short rationale; not a clinical endorsement.</x:v>
      </x:c>
    </x:row>
    <x:row r="48" ht="32" customHeight="1">
      <x:c r="A48" s="8" t="str">
        <x:v>Fable low C36</x:v>
      </x:c>
      <x:c r="B48" s="8" t="str">
        <x:v>outputs/stripped-3bucket-fable-2026-09-15/C36-parsed.json</x:v>
      </x:c>
      <x:c r="C48" s="8" t="str">
        <x:v>4cbaa5d89f4e2db7c136135c4690a617cd2e1ab4deb5b57fe577c39b756bd06e</x:v>
      </x:c>
      <x:c r="D48" s="8" t="str">
        <x:v>Unchanged model output and short rationale; not a clinical endorsement.</x:v>
      </x:c>
    </x:row>
    <x:row r="49" ht="32" customHeight="1">
      <x:c r="A49" s="8" t="str">
        <x:v>Fable low C37</x:v>
      </x:c>
      <x:c r="B49" s="8" t="str">
        <x:v>outputs/stripped-3bucket-fable-2026-09-15/C37-parsed.json</x:v>
      </x:c>
      <x:c r="C49" s="8" t="str">
        <x:v>4c8059fa38329175079ce3ddd4ad3329df257d291ea1215e5d52998eab623c77</x:v>
      </x:c>
      <x:c r="D49" s="8" t="str">
        <x:v>Unchanged model output and short rationale; not a clinical endorsement.</x:v>
      </x:c>
    </x:row>
    <x:row r="50" ht="32" customHeight="1">
      <x:c r="A50" s="8" t="str">
        <x:v>Fable low C38</x:v>
      </x:c>
      <x:c r="B50" s="8" t="str">
        <x:v>outputs/stripped-3bucket-fable-2026-09-15/C38-parsed.json</x:v>
      </x:c>
      <x:c r="C50" s="8" t="str">
        <x:v>39dc6110c241ac96b71c766b0f347801b9a578d3e4324a978101d86dd5c0f950</x:v>
      </x:c>
      <x:c r="D50" s="8" t="str">
        <x:v>Unchanged model output and short rationale; not a clinical endorsement.</x:v>
      </x:c>
    </x:row>
    <x:row r="51" ht="32" customHeight="1">
      <x:c r="A51" s="8" t="str">
        <x:v>Fable low C39</x:v>
      </x:c>
      <x:c r="B51" s="8" t="str">
        <x:v>outputs/stripped-3bucket-fable-2026-09-15/C39-parsed.json</x:v>
      </x:c>
      <x:c r="C51" s="8" t="str">
        <x:v>4755cf114e8426986142721635029b667876581d2b353641a2f64d2da3fa18d2</x:v>
      </x:c>
      <x:c r="D51" s="8" t="str">
        <x:v>Unchanged model output and short rationale; not a clinical endorsement.</x:v>
      </x:c>
    </x:row>
    <x:row r="52" ht="32" customHeight="1">
      <x:c r="A52" s="8" t="str">
        <x:v>Fable low C40</x:v>
      </x:c>
      <x:c r="B52" s="8" t="str">
        <x:v>outputs/stripped-3bucket-fable-2026-09-15/C40-parsed.json</x:v>
      </x:c>
      <x:c r="C52" s="8" t="str">
        <x:v>17c8510fcbb2a51a6123a769e1bb781cd52cf35f76f8d1bd1c3dca98645a6307</x:v>
      </x:c>
      <x:c r="D52" s="8" t="str">
        <x:v>Unchanged model output and short rationale; not a clinical endorsement.</x:v>
      </x:c>
    </x:row>
    <x:row r="53" ht="32" customHeight="1">
      <x:c r="A53" s="8" t="str">
        <x:v>Fable low C41</x:v>
      </x:c>
      <x:c r="B53" s="8" t="str">
        <x:v>outputs/stripped-3bucket-fable-2026-09-15/C41-parsed.json</x:v>
      </x:c>
      <x:c r="C53" s="8" t="str">
        <x:v>6ff7866df18bb3c07457925d3efb356e1067c4b5099a9a33c9f8e8097f3cd21c</x:v>
      </x:c>
      <x:c r="D53" s="8" t="str">
        <x:v>Unchanged model output and short rationale; not a clinical endorsement.</x:v>
      </x:c>
    </x:row>
    <x:row r="54" ht="32" customHeight="1">
      <x:c r="A54" s="8" t="str">
        <x:v>Fable low C42</x:v>
      </x:c>
      <x:c r="B54" s="8" t="str">
        <x:v>outputs/stripped-3bucket-fable-2026-09-15/C42-parsed.json</x:v>
      </x:c>
      <x:c r="C54" s="8" t="str">
        <x:v>2cdea62e6eadde2e2588c6e882c0b3984639d1b8c47c5120c4184800fc4bf049</x:v>
      </x:c>
      <x:c r="D54" s="8" t="str">
        <x:v>Unchanged model output and short rationale; not a clinical endorsement.</x:v>
      </x:c>
    </x:row>
    <x:row r="55" ht="32" customHeight="1">
      <x:c r="A55" s="8" t="str">
        <x:v>Fable low C43</x:v>
      </x:c>
      <x:c r="B55" s="8" t="str">
        <x:v>outputs/stripped-3bucket-fable-2026-09-15/C43-parsed.json</x:v>
      </x:c>
      <x:c r="C55" s="8" t="str">
        <x:v>fdc5c98a60917412099f20068447ab32d0d772ba836b91eb5f43fa307549330a</x:v>
      </x:c>
      <x:c r="D55" s="8" t="str">
        <x:v>Unchanged model output and short rationale; not a clinical endorsement.</x:v>
      </x:c>
    </x:row>
    <x:row r="56" ht="32" customHeight="1">
      <x:c r="A56" s="8" t="str">
        <x:v>Fable low C44</x:v>
      </x:c>
      <x:c r="B56" s="8" t="str">
        <x:v>outputs/stripped-3bucket-fable-2026-09-15/C44-parsed.json</x:v>
      </x:c>
      <x:c r="C56" s="8" t="str">
        <x:v>413c2a6200af8ae2ee36afb07567f4b89878c2a1652bcda07dfc7419223c9efe</x:v>
      </x:c>
      <x:c r="D56" s="8" t="str">
        <x:v>Unchanged model output and short rationale; not a clinical endorsement.</x:v>
      </x:c>
    </x:row>
    <x:row r="57" ht="32" customHeight="1">
      <x:c r="A57" s="8" t="str">
        <x:v>Fable low C45</x:v>
      </x:c>
      <x:c r="B57" s="8" t="str">
        <x:v>outputs/stripped-3bucket-fable-2026-09-15/C45-parsed.json</x:v>
      </x:c>
      <x:c r="C57" s="8" t="str">
        <x:v>9ed122ce83e4f1336141a53c951c4ea7e411300a4561b0312f1748f8f26b1305</x:v>
      </x:c>
      <x:c r="D57" s="8" t="str">
        <x:v>Unchanged model output and short rationale; not a clinical endorsement.</x:v>
      </x:c>
    </x:row>
    <x:row r="58" ht="32" customHeight="1">
      <x:c r="A58" s="8" t="str">
        <x:v>Fable low C46</x:v>
      </x:c>
      <x:c r="B58" s="8" t="str">
        <x:v>outputs/stripped-3bucket-fable-2026-09-15/C46-parsed.json</x:v>
      </x:c>
      <x:c r="C58" s="8" t="str">
        <x:v>d1a79faf44db1948edfa845acd4fe30f0ffad3cb26a0347a9a105ba14ceedfcd</x:v>
      </x:c>
      <x:c r="D58" s="8" t="str">
        <x:v>Unchanged model output and short rationale; not a clinical endorsement.</x:v>
      </x:c>
    </x:row>
    <x:row r="59" ht="32" customHeight="1">
      <x:c r="A59" s="8" t="str">
        <x:v>Fable low C47</x:v>
      </x:c>
      <x:c r="B59" s="8" t="str">
        <x:v>outputs/stripped-3bucket-fable-2026-09-15/C47-parsed.json</x:v>
      </x:c>
      <x:c r="C59" s="8" t="str">
        <x:v>d1efba414714ac65ea18e67edd387c88221f7703e44e7b7d7086244834c31c8d</x:v>
      </x:c>
      <x:c r="D59" s="8" t="str">
        <x:v>Unchanged model output and short rationale; not a clinical endorsement.</x:v>
      </x:c>
    </x:row>
    <x:row r="60" ht="32" customHeight="1">
      <x:c r="A60" s="8" t="str">
        <x:v>Fable low C48</x:v>
      </x:c>
      <x:c r="B60" s="8" t="str">
        <x:v>outputs/stripped-3bucket-fable-2026-09-15/C48-parsed.json</x:v>
      </x:c>
      <x:c r="C60" s="8" t="str">
        <x:v>bf0ce0d7ba842a2cb8d4ae58eeca8fad315017102bdef4ab16ef23a91c40c0a1</x:v>
      </x:c>
      <x:c r="D60" s="8" t="str">
        <x:v>Unchanged model output and short rationale; not a clinical endorsement.</x:v>
      </x:c>
    </x:row>
    <x:row r="61" ht="32" customHeight="1">
      <x:c r="A61" s="8" t="str">
        <x:v>Fable low C49</x:v>
      </x:c>
      <x:c r="B61" s="8" t="str">
        <x:v>outputs/stripped-3bucket-fable-2026-09-15/C49-parsed.json</x:v>
      </x:c>
      <x:c r="C61" s="8" t="str">
        <x:v>c0780ef3deeca2db00e2f02e3caf9cc2c921c1b66bbcf9e820b7bedff1326c01</x:v>
      </x:c>
      <x:c r="D61" s="8" t="str">
        <x:v>Unchanged model output and short rationale; not a clinical endorsement.</x:v>
      </x:c>
    </x:row>
    <x:row r="62" ht="32" customHeight="1">
      <x:c r="A62" s="8" t="str">
        <x:v>Fable low C50</x:v>
      </x:c>
      <x:c r="B62" s="8" t="str">
        <x:v>outputs/stripped-3bucket-fable-2026-09-15/C50-parsed.json</x:v>
      </x:c>
      <x:c r="C62" s="8" t="str">
        <x:v>4b7ebfc34f8db287ff8a906e63b252dc6bc3943861d0bab2a1a3f912a9cbbbad</x:v>
      </x:c>
      <x:c r="D62" s="8" t="str">
        <x:v>Unchanged model output and short rationale; not a clinical endorsement.</x:v>
      </x:c>
    </x:row>
    <x:row r="63" ht="32" customHeight="1">
      <x:c r="A63" s="8" t="str">
        <x:v>Opus low manifest</x:v>
      </x:c>
      <x:c r="B63" s="8" t="str">
        <x:v>outputs/stripped-3bucket-opus-2026-09-15/manifest.json</x:v>
      </x:c>
      <x:c r="C63" s="8" t="str">
        <x:v>7733d9c8fe2a0654ec0f548bdff5752e5222789f342cc960e943ffefeece1bc2</x:v>
      </x:c>
      <x:c r="D63" s="8" t="str">
        <x:v>Frozen provider protocol and generation provenance.</x:v>
      </x:c>
    </x:row>
    <x:row r="64" ht="32" customHeight="1">
      <x:c r="A64" s="8" t="str">
        <x:v>Opus low completion</x:v>
      </x:c>
      <x:c r="B64" s="8" t="str">
        <x:v>outputs/stripped-3bucket-opus-2026-09-15/generation-complete.json</x:v>
      </x:c>
      <x:c r="C64" s="8" t="str">
        <x:v>9269e80ebde32bc3fb3c6f94ce834bd04325ff782fbea840c14695e8bb876864</x:v>
      </x:c>
      <x:c r="D64" s="8" t="str">
        <x:v>Frozen usage, latency and accounting.</x:v>
      </x:c>
    </x:row>
    <x:row r="65" ht="32" customHeight="1">
      <x:c r="A65" s="8" t="str">
        <x:v>Opus low C01</x:v>
      </x:c>
      <x:c r="B65" s="8" t="str">
        <x:v>outputs/stripped-3bucket-opus-2026-09-15/C01-parsed.json</x:v>
      </x:c>
      <x:c r="C65" s="8" t="str">
        <x:v>8d4156b7c413b5f125b39594ce649f3502b93c6d4e37f57efe40ad9b0835eba3</x:v>
      </x:c>
      <x:c r="D65" s="8" t="str">
        <x:v>Unchanged model output and short rationale; not a clinical endorsement.</x:v>
      </x:c>
    </x:row>
    <x:row r="66" ht="32" customHeight="1">
      <x:c r="A66" s="8" t="str">
        <x:v>Opus low C02</x:v>
      </x:c>
      <x:c r="B66" s="8" t="str">
        <x:v>outputs/stripped-3bucket-opus-2026-09-15/C02-parsed.json</x:v>
      </x:c>
      <x:c r="C66" s="8" t="str">
        <x:v>cbd8b7a7e59956810a2862c340bf0db8a46f71e7e289e319d2465ada53b6bbc7</x:v>
      </x:c>
      <x:c r="D66" s="8" t="str">
        <x:v>Unchanged model output and short rationale; not a clinical endorsement.</x:v>
      </x:c>
    </x:row>
    <x:row r="67" ht="32" customHeight="1">
      <x:c r="A67" s="8" t="str">
        <x:v>Opus low C03</x:v>
      </x:c>
      <x:c r="B67" s="8" t="str">
        <x:v>outputs/stripped-3bucket-opus-2026-09-15/C03-parsed.json</x:v>
      </x:c>
      <x:c r="C67" s="8" t="str">
        <x:v>777823a259efb1b6d0808d921862441c452f89e6415efb748861cb47b564ad1c</x:v>
      </x:c>
      <x:c r="D67" s="8" t="str">
        <x:v>Unchanged model output and short rationale; not a clinical endorsement.</x:v>
      </x:c>
    </x:row>
    <x:row r="68" ht="32" customHeight="1">
      <x:c r="A68" s="8" t="str">
        <x:v>Opus low C04</x:v>
      </x:c>
      <x:c r="B68" s="8" t="str">
        <x:v>outputs/stripped-3bucket-opus-2026-09-15/C04-parsed.json</x:v>
      </x:c>
      <x:c r="C68" s="8" t="str">
        <x:v>c6f1c898262e2a493f601b349099109e7caa3866c9245dae04f80acac3df00ea</x:v>
      </x:c>
      <x:c r="D68" s="8" t="str">
        <x:v>Unchanged model output and short rationale; not a clinical endorsement.</x:v>
      </x:c>
    </x:row>
    <x:row r="69" ht="32" customHeight="1">
      <x:c r="A69" s="8" t="str">
        <x:v>Opus low C05</x:v>
      </x:c>
      <x:c r="B69" s="8" t="str">
        <x:v>outputs/stripped-3bucket-opus-2026-09-15/C05-parsed.json</x:v>
      </x:c>
      <x:c r="C69" s="8" t="str">
        <x:v>0c290ee54ffb3467f2cf714c19dd66bf12da748600891645452ead5848c383d8</x:v>
      </x:c>
      <x:c r="D69" s="8" t="str">
        <x:v>Unchanged model output and short rationale; not a clinical endorsement.</x:v>
      </x:c>
    </x:row>
    <x:row r="70" ht="32" customHeight="1">
      <x:c r="A70" s="8" t="str">
        <x:v>Opus low C06</x:v>
      </x:c>
      <x:c r="B70" s="8" t="str">
        <x:v>outputs/stripped-3bucket-opus-2026-09-15/C06-parsed.json</x:v>
      </x:c>
      <x:c r="C70" s="8" t="str">
        <x:v>77119db37a7827f9a2114f4f2e3357fb00819befdfd65c54ae436fe70f7478ed</x:v>
      </x:c>
      <x:c r="D70" s="8" t="str">
        <x:v>Unchanged model output and short rationale; not a clinical endorsement.</x:v>
      </x:c>
    </x:row>
    <x:row r="71" ht="32" customHeight="1">
      <x:c r="A71" s="8" t="str">
        <x:v>Opus low C07</x:v>
      </x:c>
      <x:c r="B71" s="8" t="str">
        <x:v>outputs/stripped-3bucket-opus-2026-09-15/C07-parsed.json</x:v>
      </x:c>
      <x:c r="C71" s="8" t="str">
        <x:v>7c7ca0af04f77ac6837bec500a840bf075cf05d8b7db38d1d64849480b15cd36</x:v>
      </x:c>
      <x:c r="D71" s="8" t="str">
        <x:v>Unchanged model output and short rationale; not a clinical endorsement.</x:v>
      </x:c>
    </x:row>
    <x:row r="72" ht="32" customHeight="1">
      <x:c r="A72" s="8" t="str">
        <x:v>Opus low C08</x:v>
      </x:c>
      <x:c r="B72" s="8" t="str">
        <x:v>outputs/stripped-3bucket-opus-2026-09-15/C08-parsed.json</x:v>
      </x:c>
      <x:c r="C72" s="8" t="str">
        <x:v>5e3d850cce777d8a9e156f200d65a929a849bff3551c2c35549323d681d6e073</x:v>
      </x:c>
      <x:c r="D72" s="8" t="str">
        <x:v>Unchanged model output and short rationale; not a clinical endorsement.</x:v>
      </x:c>
    </x:row>
    <x:row r="73" ht="32" customHeight="1">
      <x:c r="A73" s="8" t="str">
        <x:v>Opus low C09</x:v>
      </x:c>
      <x:c r="B73" s="8" t="str">
        <x:v>outputs/stripped-3bucket-opus-2026-09-15/C09-parsed.json</x:v>
      </x:c>
      <x:c r="C73" s="8" t="str">
        <x:v>9fad70c296a37ebe9b608adfc06b5d99f1adc2a1844391e3239517a3b450d3f7</x:v>
      </x:c>
      <x:c r="D73" s="8" t="str">
        <x:v>Unchanged model output and short rationale; not a clinical endorsement.</x:v>
      </x:c>
    </x:row>
    <x:row r="74" ht="32" customHeight="1">
      <x:c r="A74" s="8" t="str">
        <x:v>Opus low C10</x:v>
      </x:c>
      <x:c r="B74" s="8" t="str">
        <x:v>outputs/stripped-3bucket-opus-2026-09-15/C10-parsed.json</x:v>
      </x:c>
      <x:c r="C74" s="8" t="str">
        <x:v>578d8570409916c3c79a78dc140478045202f4751fabc86fc89f33fad591a821</x:v>
      </x:c>
      <x:c r="D74" s="8" t="str">
        <x:v>Unchanged model output and short rationale; not a clinical endorsement.</x:v>
      </x:c>
    </x:row>
    <x:row r="75" ht="32" customHeight="1">
      <x:c r="A75" s="8" t="str">
        <x:v>Opus low C11</x:v>
      </x:c>
      <x:c r="B75" s="8" t="str">
        <x:v>outputs/stripped-3bucket-opus-2026-09-15/C11-parsed.json</x:v>
      </x:c>
      <x:c r="C75" s="8" t="str">
        <x:v>61f841e8a1d91b158358d6e7497a1f13dae96abb20f1a1da53d7e844fc900bc8</x:v>
      </x:c>
      <x:c r="D75" s="8" t="str">
        <x:v>Unchanged model output and short rationale; not a clinical endorsement.</x:v>
      </x:c>
    </x:row>
    <x:row r="76" ht="32" customHeight="1">
      <x:c r="A76" s="8" t="str">
        <x:v>Opus low C12</x:v>
      </x:c>
      <x:c r="B76" s="8" t="str">
        <x:v>outputs/stripped-3bucket-opus-2026-09-15/C12-parsed.json</x:v>
      </x:c>
      <x:c r="C76" s="8" t="str">
        <x:v>55d85a2758729167936611633aa2d38aaa41d741f590f380669a506556fabe7f</x:v>
      </x:c>
      <x:c r="D76" s="8" t="str">
        <x:v>Unchanged model output and short rationale; not a clinical endorsement.</x:v>
      </x:c>
    </x:row>
    <x:row r="77" ht="32" customHeight="1">
      <x:c r="A77" s="8" t="str">
        <x:v>Opus low C13</x:v>
      </x:c>
      <x:c r="B77" s="8" t="str">
        <x:v>outputs/stripped-3bucket-opus-2026-09-15/C13-parsed.json</x:v>
      </x:c>
      <x:c r="C77" s="8" t="str">
        <x:v>544bebe795667ff34d5e3b6e279fb46c2790cd38f0e136dae25ab1a826a9febb</x:v>
      </x:c>
      <x:c r="D77" s="8" t="str">
        <x:v>Unchanged model output and short rationale; not a clinical endorsement.</x:v>
      </x:c>
    </x:row>
    <x:row r="78" ht="32" customHeight="1">
      <x:c r="A78" s="8" t="str">
        <x:v>Opus low C14</x:v>
      </x:c>
      <x:c r="B78" s="8" t="str">
        <x:v>outputs/stripped-3bucket-opus-2026-09-15/C14-parsed.json</x:v>
      </x:c>
      <x:c r="C78" s="8" t="str">
        <x:v>2f6d452670301461330d6355be3a760b85a804549646f40a3163f6f081f7c7cc</x:v>
      </x:c>
      <x:c r="D78" s="8" t="str">
        <x:v>Unchanged model output and short rationale; not a clinical endorsement.</x:v>
      </x:c>
    </x:row>
    <x:row r="79" ht="32" customHeight="1">
      <x:c r="A79" s="8" t="str">
        <x:v>Opus low C15</x:v>
      </x:c>
      <x:c r="B79" s="8" t="str">
        <x:v>outputs/stripped-3bucket-opus-2026-09-15/C15-parsed.json</x:v>
      </x:c>
      <x:c r="C79" s="8" t="str">
        <x:v>bfa191d275cb85a0c2f5ed29c0ddde91e1852fe644180ede3018d5403335faeb</x:v>
      </x:c>
      <x:c r="D79" s="8" t="str">
        <x:v>Unchanged model output and short rationale; not a clinical endorsement.</x:v>
      </x:c>
    </x:row>
    <x:row r="80" ht="32" customHeight="1">
      <x:c r="A80" s="8" t="str">
        <x:v>Opus low C16</x:v>
      </x:c>
      <x:c r="B80" s="8" t="str">
        <x:v>outputs/stripped-3bucket-opus-2026-09-15/C16-parsed.json</x:v>
      </x:c>
      <x:c r="C80" s="8" t="str">
        <x:v>b52eb363f4c13061bdbe2e9f5aa429f311efcc6cd38ee51f313b278fdedd8057</x:v>
      </x:c>
      <x:c r="D80" s="8" t="str">
        <x:v>Unchanged model output and short rationale; not a clinical endorsement.</x:v>
      </x:c>
    </x:row>
    <x:row r="81" ht="32" customHeight="1">
      <x:c r="A81" s="8" t="str">
        <x:v>Opus low C17</x:v>
      </x:c>
      <x:c r="B81" s="8" t="str">
        <x:v>outputs/stripped-3bucket-opus-2026-09-15/C17-parsed.json</x:v>
      </x:c>
      <x:c r="C81" s="8" t="str">
        <x:v>2bea70f329804757f16e1f0e1300ca5291f515e396a125dd18b58a6b406d7d4b</x:v>
      </x:c>
      <x:c r="D81" s="8" t="str">
        <x:v>Unchanged model output and short rationale; not a clinical endorsement.</x:v>
      </x:c>
    </x:row>
    <x:row r="82" ht="32" customHeight="1">
      <x:c r="A82" s="8" t="str">
        <x:v>Opus low C18</x:v>
      </x:c>
      <x:c r="B82" s="8" t="str">
        <x:v>outputs/stripped-3bucket-opus-2026-09-15/C18-parsed.json</x:v>
      </x:c>
      <x:c r="C82" s="8" t="str">
        <x:v>9f596448d9e83e05a3fbaa3b163b0573289da076c566b9118a6aa2f9bc14cb03</x:v>
      </x:c>
      <x:c r="D82" s="8" t="str">
        <x:v>Unchanged model output and short rationale; not a clinical endorsement.</x:v>
      </x:c>
    </x:row>
    <x:row r="83" ht="32" customHeight="1">
      <x:c r="A83" s="8" t="str">
        <x:v>Opus low C19</x:v>
      </x:c>
      <x:c r="B83" s="8" t="str">
        <x:v>outputs/stripped-3bucket-opus-2026-09-15/C19-parsed.json</x:v>
      </x:c>
      <x:c r="C83" s="8" t="str">
        <x:v>65d8d848a18007d554bbf7514197d5115fe5d34fc0704ef841372c6a65903a41</x:v>
      </x:c>
      <x:c r="D83" s="8" t="str">
        <x:v>Unchanged model output and short rationale; not a clinical endorsement.</x:v>
      </x:c>
    </x:row>
    <x:row r="84" ht="32" customHeight="1">
      <x:c r="A84" s="8" t="str">
        <x:v>Opus low C20</x:v>
      </x:c>
      <x:c r="B84" s="8" t="str">
        <x:v>outputs/stripped-3bucket-opus-2026-09-15/C20-parsed.json</x:v>
      </x:c>
      <x:c r="C84" s="8" t="str">
        <x:v>b224aa704f4c6dba43d29849b0754abc39ae38cf72bcbf387dc71218d129bc1d</x:v>
      </x:c>
      <x:c r="D84" s="8" t="str">
        <x:v>Unchanged model output and short rationale; not a clinical endorsement.</x:v>
      </x:c>
    </x:row>
    <x:row r="85" ht="32" customHeight="1">
      <x:c r="A85" s="8" t="str">
        <x:v>Opus low C21</x:v>
      </x:c>
      <x:c r="B85" s="8" t="str">
        <x:v>outputs/stripped-3bucket-opus-2026-09-15/C21-parsed.json</x:v>
      </x:c>
      <x:c r="C85" s="8" t="str">
        <x:v>9704640b70974501d80071142ed40803356a356a20179f9dda420341a5bf0d57</x:v>
      </x:c>
      <x:c r="D85" s="8" t="str">
        <x:v>Unchanged model output and short rationale; not a clinical endorsement.</x:v>
      </x:c>
    </x:row>
    <x:row r="86" ht="32" customHeight="1">
      <x:c r="A86" s="8" t="str">
        <x:v>Opus low C22</x:v>
      </x:c>
      <x:c r="B86" s="8" t="str">
        <x:v>outputs/stripped-3bucket-opus-2026-09-15/C22-parsed.json</x:v>
      </x:c>
      <x:c r="C86" s="8" t="str">
        <x:v>5af5c10bae97e6b0ae6bd610059f5d89cb937bdfd3d3b056269b7be792e65e8c</x:v>
      </x:c>
      <x:c r="D86" s="8" t="str">
        <x:v>Unchanged model output and short rationale; not a clinical endorsement.</x:v>
      </x:c>
    </x:row>
    <x:row r="87" ht="32" customHeight="1">
      <x:c r="A87" s="8" t="str">
        <x:v>Opus low C23</x:v>
      </x:c>
      <x:c r="B87" s="8" t="str">
        <x:v>outputs/stripped-3bucket-opus-2026-09-15/C23-parsed.json</x:v>
      </x:c>
      <x:c r="C87" s="8" t="str">
        <x:v>2c7282b916e9132450c8fc8a4f16e610df87506d8e0379d4c462f1124f7fcd29</x:v>
      </x:c>
      <x:c r="D87" s="8" t="str">
        <x:v>Unchanged model output and short rationale; not a clinical endorsement.</x:v>
      </x:c>
    </x:row>
    <x:row r="88" ht="32" customHeight="1">
      <x:c r="A88" s="8" t="str">
        <x:v>Opus low C24</x:v>
      </x:c>
      <x:c r="B88" s="8" t="str">
        <x:v>outputs/stripped-3bucket-opus-2026-09-15/C24-parsed.json</x:v>
      </x:c>
      <x:c r="C88" s="8" t="str">
        <x:v>7db8448c1268003f71734b7ab832b8f7b68cd254b823e5d81b4f034f50e53cb6</x:v>
      </x:c>
      <x:c r="D88" s="8" t="str">
        <x:v>Unchanged model output and short rationale; not a clinical endorsement.</x:v>
      </x:c>
    </x:row>
    <x:row r="89" ht="32" customHeight="1">
      <x:c r="A89" s="8" t="str">
        <x:v>Opus low C25</x:v>
      </x:c>
      <x:c r="B89" s="8" t="str">
        <x:v>outputs/stripped-3bucket-opus-2026-09-15/C25-parsed.json</x:v>
      </x:c>
      <x:c r="C89" s="8" t="str">
        <x:v>11613ecbe04ef1be64a97698506511cc7bb6ccdc02c33c5008b722d7d4692d73</x:v>
      </x:c>
      <x:c r="D89" s="8" t="str">
        <x:v>Unchanged model output and short rationale; not a clinical endorsement.</x:v>
      </x:c>
    </x:row>
    <x:row r="90" ht="32" customHeight="1">
      <x:c r="A90" s="8" t="str">
        <x:v>Opus low C26</x:v>
      </x:c>
      <x:c r="B90" s="8" t="str">
        <x:v>outputs/stripped-3bucket-opus-2026-09-15/C26-parsed.json</x:v>
      </x:c>
      <x:c r="C90" s="8" t="str">
        <x:v>75b35c6d06f6249a165c90619c456b575024e2400912944a249ac3a4f7af6582</x:v>
      </x:c>
      <x:c r="D90" s="8" t="str">
        <x:v>Unchanged model output and short rationale; not a clinical endorsement.</x:v>
      </x:c>
    </x:row>
    <x:row r="91" ht="32" customHeight="1">
      <x:c r="A91" s="8" t="str">
        <x:v>Opus low C27</x:v>
      </x:c>
      <x:c r="B91" s="8" t="str">
        <x:v>outputs/stripped-3bucket-opus-2026-09-15/C27-parsed.json</x:v>
      </x:c>
      <x:c r="C91" s="8" t="str">
        <x:v>98a3bb7a1133dba3b9c4191989d76a0698b370c455e195e3b99b252a48988f46</x:v>
      </x:c>
      <x:c r="D91" s="8" t="str">
        <x:v>Unchanged model output and short rationale; not a clinical endorsement.</x:v>
      </x:c>
    </x:row>
    <x:row r="92" ht="32" customHeight="1">
      <x:c r="A92" s="8" t="str">
        <x:v>Opus low C28</x:v>
      </x:c>
      <x:c r="B92" s="8" t="str">
        <x:v>outputs/stripped-3bucket-opus-2026-09-15/C28-parsed.json</x:v>
      </x:c>
      <x:c r="C92" s="8" t="str">
        <x:v>c03cece37d3e5e87252754bc7eb5c77d62eaaffa595ff60f59a5f066ed5f46f0</x:v>
      </x:c>
      <x:c r="D92" s="8" t="str">
        <x:v>Unchanged model output and short rationale; not a clinical endorsement.</x:v>
      </x:c>
    </x:row>
    <x:row r="93" ht="32" customHeight="1">
      <x:c r="A93" s="8" t="str">
        <x:v>Opus low C29</x:v>
      </x:c>
      <x:c r="B93" s="8" t="str">
        <x:v>outputs/stripped-3bucket-opus-2026-09-15/C29-parsed.json</x:v>
      </x:c>
      <x:c r="C93" s="8" t="str">
        <x:v>4310b32a44cb695edab821bee7844c080e9e81b5ed84c480e22ef15a34f2b898</x:v>
      </x:c>
      <x:c r="D93" s="8" t="str">
        <x:v>Unchanged model output and short rationale; not a clinical endorsement.</x:v>
      </x:c>
    </x:row>
    <x:row r="94" ht="32" customHeight="1">
      <x:c r="A94" s="8" t="str">
        <x:v>Opus low C30</x:v>
      </x:c>
      <x:c r="B94" s="8" t="str">
        <x:v>outputs/stripped-3bucket-opus-2026-09-15/C30-parsed.json</x:v>
      </x:c>
      <x:c r="C94" s="8" t="str">
        <x:v>551a0f13f110c398b76231a24cf3f009c12707ed5f5de1c6b1d86efe5150580d</x:v>
      </x:c>
      <x:c r="D94" s="8" t="str">
        <x:v>Unchanged model output and short rationale; not a clinical endorsement.</x:v>
      </x:c>
    </x:row>
    <x:row r="95" ht="32" customHeight="1">
      <x:c r="A95" s="8" t="str">
        <x:v>Opus low C31</x:v>
      </x:c>
      <x:c r="B95" s="8" t="str">
        <x:v>outputs/stripped-3bucket-opus-2026-09-15/C31-parsed.json</x:v>
      </x:c>
      <x:c r="C95" s="8" t="str">
        <x:v>ec726f7ddeb5424f8a76269008fb5bbd273958c653f4597ab4da2690233abd56</x:v>
      </x:c>
      <x:c r="D95" s="8" t="str">
        <x:v>Unchanged model output and short rationale; not a clinical endorsement.</x:v>
      </x:c>
    </x:row>
    <x:row r="96" ht="32" customHeight="1">
      <x:c r="A96" s="8" t="str">
        <x:v>Opus low C32</x:v>
      </x:c>
      <x:c r="B96" s="8" t="str">
        <x:v>outputs/stripped-3bucket-opus-2026-09-15/C32-parsed.json</x:v>
      </x:c>
      <x:c r="C96" s="8" t="str">
        <x:v>ab9c67a5c3c8b88e69165afa1c7f754aed1be0a17e097e0b4c0e3c6d0e119e35</x:v>
      </x:c>
      <x:c r="D96" s="8" t="str">
        <x:v>Unchanged model output and short rationale; not a clinical endorsement.</x:v>
      </x:c>
    </x:row>
    <x:row r="97" ht="32" customHeight="1">
      <x:c r="A97" s="8" t="str">
        <x:v>Opus low C33</x:v>
      </x:c>
      <x:c r="B97" s="8" t="str">
        <x:v>outputs/stripped-3bucket-opus-2026-09-15/C33-parsed.json</x:v>
      </x:c>
      <x:c r="C97" s="8" t="str">
        <x:v>1eaa98499a0cba1f2f2467c2eee7169fb9f15e13127607ec9e718c9a37b2e886</x:v>
      </x:c>
      <x:c r="D97" s="8" t="str">
        <x:v>Unchanged model output and short rationale; not a clinical endorsement.</x:v>
      </x:c>
    </x:row>
    <x:row r="98" ht="32" customHeight="1">
      <x:c r="A98" s="8" t="str">
        <x:v>Opus low C34</x:v>
      </x:c>
      <x:c r="B98" s="8" t="str">
        <x:v>outputs/stripped-3bucket-opus-2026-09-15/C34-parsed.json</x:v>
      </x:c>
      <x:c r="C98" s="8" t="str">
        <x:v>0a290fa84ce8fda4fe0acf5fac8bbb4e3ade52889d680f2aa58a7444f65d6b89</x:v>
      </x:c>
      <x:c r="D98" s="8" t="str">
        <x:v>Unchanged model output and short rationale; not a clinical endorsement.</x:v>
      </x:c>
    </x:row>
    <x:row r="99" ht="32" customHeight="1">
      <x:c r="A99" s="8" t="str">
        <x:v>Opus low C35</x:v>
      </x:c>
      <x:c r="B99" s="8" t="str">
        <x:v>outputs/stripped-3bucket-opus-2026-09-15/C35-parsed.json</x:v>
      </x:c>
      <x:c r="C99" s="8" t="str">
        <x:v>28cd044c8c1f2530c2628ac60b9c2125221d26b64ceabec0c9dbf07cc296647e</x:v>
      </x:c>
      <x:c r="D99" s="8" t="str">
        <x:v>Unchanged model output and short rationale; not a clinical endorsement.</x:v>
      </x:c>
    </x:row>
    <x:row r="100" ht="32" customHeight="1">
      <x:c r="A100" s="8" t="str">
        <x:v>Opus low C36</x:v>
      </x:c>
      <x:c r="B100" s="8" t="str">
        <x:v>outputs/stripped-3bucket-opus-2026-09-15/C36-parsed.json</x:v>
      </x:c>
      <x:c r="C100" s="8" t="str">
        <x:v>94e048e23abc69fd3f64392d6aeb230caff5e506d8545f6ad8010db7eac63c6c</x:v>
      </x:c>
      <x:c r="D100" s="8" t="str">
        <x:v>Unchanged model output and short rationale; not a clinical endorsement.</x:v>
      </x:c>
    </x:row>
    <x:row r="101" ht="32" customHeight="1">
      <x:c r="A101" s="8" t="str">
        <x:v>Opus low C37</x:v>
      </x:c>
      <x:c r="B101" s="8" t="str">
        <x:v>outputs/stripped-3bucket-opus-2026-09-15/C37-parsed.json</x:v>
      </x:c>
      <x:c r="C101" s="8" t="str">
        <x:v>7736981704ae0d095b7df6d7c92a267302636d2f7710fb5eca6a70ff6d5df58b</x:v>
      </x:c>
      <x:c r="D101" s="8" t="str">
        <x:v>Unchanged model output and short rationale; not a clinical endorsement.</x:v>
      </x:c>
    </x:row>
    <x:row r="102" ht="32" customHeight="1">
      <x:c r="A102" s="8" t="str">
        <x:v>Opus low C38</x:v>
      </x:c>
      <x:c r="B102" s="8" t="str">
        <x:v>outputs/stripped-3bucket-opus-2026-09-15/C38-parsed.json</x:v>
      </x:c>
      <x:c r="C102" s="8" t="str">
        <x:v>4f8897d77c4cdf978646213f89b6bd1977a24772df996feb67055dd685c93edf</x:v>
      </x:c>
      <x:c r="D102" s="8" t="str">
        <x:v>Unchanged model output and short rationale; not a clinical endorsement.</x:v>
      </x:c>
    </x:row>
    <x:row r="103" ht="32" customHeight="1">
      <x:c r="A103" s="8" t="str">
        <x:v>Opus low C39</x:v>
      </x:c>
      <x:c r="B103" s="8" t="str">
        <x:v>outputs/stripped-3bucket-opus-2026-09-15/C39-parsed.json</x:v>
      </x:c>
      <x:c r="C103" s="8" t="str">
        <x:v>eda345a0410cf5261c8179c47cb0dddc17c34d0e9c9cec3e192487b329571b9c</x:v>
      </x:c>
      <x:c r="D103" s="8" t="str">
        <x:v>Unchanged model output and short rationale; not a clinical endorsement.</x:v>
      </x:c>
    </x:row>
    <x:row r="104" ht="32" customHeight="1">
      <x:c r="A104" s="8" t="str">
        <x:v>Opus low C40</x:v>
      </x:c>
      <x:c r="B104" s="8" t="str">
        <x:v>outputs/stripped-3bucket-opus-2026-09-15/C40-parsed.json</x:v>
      </x:c>
      <x:c r="C104" s="8" t="str">
        <x:v>87104439affef024460859c1c4c4f4964f4713cc5ead9cf49fc3dd4351018265</x:v>
      </x:c>
      <x:c r="D104" s="8" t="str">
        <x:v>Unchanged model output and short rationale; not a clinical endorsement.</x:v>
      </x:c>
    </x:row>
    <x:row r="105" ht="32" customHeight="1">
      <x:c r="A105" s="8" t="str">
        <x:v>Opus low C41</x:v>
      </x:c>
      <x:c r="B105" s="8" t="str">
        <x:v>outputs/stripped-3bucket-opus-2026-09-15/C41-parsed.json</x:v>
      </x:c>
      <x:c r="C105" s="8" t="str">
        <x:v>0dd53151d9492014b297ccd5f87c6f022bd5392910f8e95c9155e4e41bfab438</x:v>
      </x:c>
      <x:c r="D105" s="8" t="str">
        <x:v>Unchanged model output and short rationale; not a clinical endorsement.</x:v>
      </x:c>
    </x:row>
    <x:row r="106" ht="32" customHeight="1">
      <x:c r="A106" s="8" t="str">
        <x:v>Opus low C42</x:v>
      </x:c>
      <x:c r="B106" s="8" t="str">
        <x:v>outputs/stripped-3bucket-opus-2026-09-15/C42-parsed.json</x:v>
      </x:c>
      <x:c r="C106" s="8" t="str">
        <x:v>2fd74c0a297866d0cfadd3225e512f41631d0a0e4d55f0f8ee3c8d72a2a5e722</x:v>
      </x:c>
      <x:c r="D106" s="8" t="str">
        <x:v>Unchanged model output and short rationale; not a clinical endorsement.</x:v>
      </x:c>
    </x:row>
    <x:row r="107" ht="32" customHeight="1">
      <x:c r="A107" s="8" t="str">
        <x:v>Opus low C43</x:v>
      </x:c>
      <x:c r="B107" s="8" t="str">
        <x:v>outputs/stripped-3bucket-opus-2026-09-15/C43-parsed.json</x:v>
      </x:c>
      <x:c r="C107" s="8" t="str">
        <x:v>903811a016d9158efe55621e7fa5de86c13272326384eba90cb860d767b4a943</x:v>
      </x:c>
      <x:c r="D107" s="8" t="str">
        <x:v>Unchanged model output and short rationale; not a clinical endorsement.</x:v>
      </x:c>
    </x:row>
    <x:row r="108" ht="32" customHeight="1">
      <x:c r="A108" s="8" t="str">
        <x:v>Opus low C44</x:v>
      </x:c>
      <x:c r="B108" s="8" t="str">
        <x:v>outputs/stripped-3bucket-opus-2026-09-15/C44-parsed.json</x:v>
      </x:c>
      <x:c r="C108" s="8" t="str">
        <x:v>9be080157e5c6bcd1ef14c2ecbc9ba0658bd065cbe5d9d8e9db99dfd0ca77897</x:v>
      </x:c>
      <x:c r="D108" s="8" t="str">
        <x:v>Unchanged model output and short rationale; not a clinical endorsement.</x:v>
      </x:c>
    </x:row>
    <x:row r="109" ht="32" customHeight="1">
      <x:c r="A109" s="8" t="str">
        <x:v>Opus low C45</x:v>
      </x:c>
      <x:c r="B109" s="8" t="str">
        <x:v>outputs/stripped-3bucket-opus-2026-09-15/C45-parsed.json</x:v>
      </x:c>
      <x:c r="C109" s="8" t="str">
        <x:v>8abae74c1824b820c7fecc2dacd241ef2aa498d38998cdd912dc269df58e3c9b</x:v>
      </x:c>
      <x:c r="D109" s="8" t="str">
        <x:v>Unchanged model output and short rationale; not a clinical endorsement.</x:v>
      </x:c>
    </x:row>
    <x:row r="110" ht="32" customHeight="1">
      <x:c r="A110" s="8" t="str">
        <x:v>Opus low C46</x:v>
      </x:c>
      <x:c r="B110" s="8" t="str">
        <x:v>outputs/stripped-3bucket-opus-2026-09-15/C46-parsed.json</x:v>
      </x:c>
      <x:c r="C110" s="8" t="str">
        <x:v>6f84f30105a902b1476f335c149dfb36a50e296321495f351b46d8db68d7828f</x:v>
      </x:c>
      <x:c r="D110" s="8" t="str">
        <x:v>Unchanged model output and short rationale; not a clinical endorsement.</x:v>
      </x:c>
    </x:row>
    <x:row r="111" ht="32" customHeight="1">
      <x:c r="A111" s="8" t="str">
        <x:v>Opus low C47</x:v>
      </x:c>
      <x:c r="B111" s="8" t="str">
        <x:v>outputs/stripped-3bucket-opus-2026-09-15/C47-parsed.json</x:v>
      </x:c>
      <x:c r="C111" s="8" t="str">
        <x:v>c19f09b7fc1d2e24f72433e4de47b0025e11cd277eb9e1d8248490edcdc0aa64</x:v>
      </x:c>
      <x:c r="D111" s="8" t="str">
        <x:v>Unchanged model output and short rationale; not a clinical endorsement.</x:v>
      </x:c>
    </x:row>
    <x:row r="112" ht="32" customHeight="1">
      <x:c r="A112" s="8" t="str">
        <x:v>Opus low C48</x:v>
      </x:c>
      <x:c r="B112" s="8" t="str">
        <x:v>outputs/stripped-3bucket-opus-2026-09-15/C48-parsed.json</x:v>
      </x:c>
      <x:c r="C112" s="8" t="str">
        <x:v>ce63b04b7fc2599fb7bd0c306c7f417900b4090c492cfbd2e24a2cbc06901b0b</x:v>
      </x:c>
      <x:c r="D112" s="8" t="str">
        <x:v>Unchanged model output and short rationale; not a clinical endorsement.</x:v>
      </x:c>
    </x:row>
    <x:row r="113" ht="32" customHeight="1">
      <x:c r="A113" s="8" t="str">
        <x:v>Opus low C49</x:v>
      </x:c>
      <x:c r="B113" s="8" t="str">
        <x:v>outputs/stripped-3bucket-opus-2026-09-15/C49-parsed.json</x:v>
      </x:c>
      <x:c r="C113" s="8" t="str">
        <x:v>03950d54907a43383b7b7b0983a9cf41d87c255930126a9e319fcff2dbfd4d0c</x:v>
      </x:c>
      <x:c r="D113" s="8" t="str">
        <x:v>Unchanged model output and short rationale; not a clinical endorsement.</x:v>
      </x:c>
    </x:row>
    <x:row r="114" ht="32" customHeight="1">
      <x:c r="A114" s="8" t="str">
        <x:v>Opus low C50</x:v>
      </x:c>
      <x:c r="B114" s="8" t="str">
        <x:v>outputs/stripped-3bucket-opus-2026-09-15/C50-parsed.json</x:v>
      </x:c>
      <x:c r="C114" s="8" t="str">
        <x:v>53b2f05ec191ba2f5525e9d7382a5cf001c248010c5b81baf7ee25d76279b59f</x:v>
      </x:c>
      <x:c r="D114" s="8" t="str">
        <x:v>Unchanged model output and short rationale; not a clinical endorsement.</x:v>
      </x:c>
    </x:row>
    <x:row r="115" ht="32" customHeight="1">
      <x:c r="A115" s="8" t="str">
        <x:v>Fable max manifest</x:v>
      </x:c>
      <x:c r="B115" s="8" t="str">
        <x:v>outputs/stripped-3bucket-fable-max-2026-09-15/manifest.json</x:v>
      </x:c>
      <x:c r="C115" s="8" t="str">
        <x:v>e33db7b515a31862bf3e110458edccea0a075abdd9b34fb9df2413042337e585</x:v>
      </x:c>
      <x:c r="D115" s="8" t="str">
        <x:v>Frozen provider protocol and generation provenance.</x:v>
      </x:c>
    </x:row>
    <x:row r="116" ht="32" customHeight="1">
      <x:c r="A116" s="8" t="str">
        <x:v>Fable max completion</x:v>
      </x:c>
      <x:c r="B116" s="8" t="str">
        <x:v>outputs/stripped-3bucket-fable-max-2026-09-15/generation-complete.json</x:v>
      </x:c>
      <x:c r="C116" s="8" t="str">
        <x:v>e7e308d943180ead34b4a787896a25c7be464b0fdd95628ea0aa46dc17270455</x:v>
      </x:c>
      <x:c r="D116" s="8" t="str">
        <x:v>Frozen usage, latency and accounting.</x:v>
      </x:c>
    </x:row>
    <x:row r="117" ht="32" customHeight="1">
      <x:c r="A117" s="8" t="str">
        <x:v>Fable max C01</x:v>
      </x:c>
      <x:c r="B117" s="8" t="str">
        <x:v>outputs/stripped-3bucket-fable-max-2026-09-15/C01-parsed.json</x:v>
      </x:c>
      <x:c r="C117" s="8" t="str">
        <x:v>675f4f77b8ecd23eddadce8d1ca9d3feb37895accc72c2eca7e2abe8fbe7d9c7</x:v>
      </x:c>
      <x:c r="D117" s="8" t="str">
        <x:v>Unchanged model output and short rationale; not a clinical endorsement.</x:v>
      </x:c>
    </x:row>
    <x:row r="118" ht="32" customHeight="1">
      <x:c r="A118" s="8" t="str">
        <x:v>Fable max C02</x:v>
      </x:c>
      <x:c r="B118" s="8" t="str">
        <x:v>outputs/stripped-3bucket-fable-max-2026-09-15/C02-parsed.json</x:v>
      </x:c>
      <x:c r="C118" s="8" t="str">
        <x:v>20448e096e8d32b4f4f117bca4810adc0fee89c1ff894463ef06a38806f95061</x:v>
      </x:c>
      <x:c r="D118" s="8" t="str">
        <x:v>Unchanged model output and short rationale; not a clinical endorsement.</x:v>
      </x:c>
    </x:row>
    <x:row r="119" ht="32" customHeight="1">
      <x:c r="A119" s="8" t="str">
        <x:v>Fable max C03</x:v>
      </x:c>
      <x:c r="B119" s="8" t="str">
        <x:v>outputs/stripped-3bucket-fable-max-2026-09-15/C03-parsed.json</x:v>
      </x:c>
      <x:c r="C119" s="8" t="str">
        <x:v>e9bda853aa38116cce2c91cf0ddd0143901d8debfc606f764cb7b25a0711dde3</x:v>
      </x:c>
      <x:c r="D119" s="8" t="str">
        <x:v>Unchanged model output and short rationale; not a clinical endorsement.</x:v>
      </x:c>
    </x:row>
    <x:row r="120" ht="32" customHeight="1">
      <x:c r="A120" s="8" t="str">
        <x:v>Fable max C04</x:v>
      </x:c>
      <x:c r="B120" s="8" t="str">
        <x:v>outputs/stripped-3bucket-fable-max-2026-09-15/C04-parsed.json</x:v>
      </x:c>
      <x:c r="C120" s="8" t="str">
        <x:v>7992f2beea9c3d3af984b8dea33a0d0dcaa65b0ce8e3bccaff3407478aa4b71e</x:v>
      </x:c>
      <x:c r="D120" s="8" t="str">
        <x:v>Unchanged model output and short rationale; not a clinical endorsement.</x:v>
      </x:c>
    </x:row>
    <x:row r="121" ht="32" customHeight="1">
      <x:c r="A121" s="8" t="str">
        <x:v>Fable max C05</x:v>
      </x:c>
      <x:c r="B121" s="8" t="str">
        <x:v>outputs/stripped-3bucket-fable-max-2026-09-15/C05-parsed.json</x:v>
      </x:c>
      <x:c r="C121" s="8" t="str">
        <x:v>438849d28d0761db35af91eb93a1171e250d657fd0e77129b52f9dcd43b4bb2e</x:v>
      </x:c>
      <x:c r="D121" s="8" t="str">
        <x:v>Unchanged model output and short rationale; not a clinical endorsement.</x:v>
      </x:c>
    </x:row>
    <x:row r="122" ht="32" customHeight="1">
      <x:c r="A122" s="8" t="str">
        <x:v>Fable max C06</x:v>
      </x:c>
      <x:c r="B122" s="8" t="str">
        <x:v>outputs/stripped-3bucket-fable-max-2026-09-15/C06-parsed.json</x:v>
      </x:c>
      <x:c r="C122" s="8" t="str">
        <x:v>c3b7830acc6d2b8bd960666c40f85a652756af3b2ec556b58c9e164d73372f59</x:v>
      </x:c>
      <x:c r="D122" s="8" t="str">
        <x:v>Unchanged model output and short rationale; not a clinical endorsement.</x:v>
      </x:c>
    </x:row>
    <x:row r="123" ht="32" customHeight="1">
      <x:c r="A123" s="8" t="str">
        <x:v>Fable max C07</x:v>
      </x:c>
      <x:c r="B123" s="8" t="str">
        <x:v>outputs/stripped-3bucket-fable-max-2026-09-15/C07-parsed.json</x:v>
      </x:c>
      <x:c r="C123" s="8" t="str">
        <x:v>5bdc95dbe9e0978a9c39cb9c6881853414a95cf7c1c940d565e17c307afb8fc6</x:v>
      </x:c>
      <x:c r="D123" s="8" t="str">
        <x:v>Unchanged model output and short rationale; not a clinical endorsement.</x:v>
      </x:c>
    </x:row>
    <x:row r="124" ht="32" customHeight="1">
      <x:c r="A124" s="8" t="str">
        <x:v>Fable max C08</x:v>
      </x:c>
      <x:c r="B124" s="8" t="str">
        <x:v>outputs/stripped-3bucket-fable-max-2026-09-15/C08-parsed.json</x:v>
      </x:c>
      <x:c r="C124" s="8" t="str">
        <x:v>87089eecd3cc6f4caabcdfc8d4715fe6e2b7bc90f84093464a59d95b849c8e0c</x:v>
      </x:c>
      <x:c r="D124" s="8" t="str">
        <x:v>Unchanged model output and short rationale; not a clinical endorsement.</x:v>
      </x:c>
    </x:row>
    <x:row r="125" ht="32" customHeight="1">
      <x:c r="A125" s="8" t="str">
        <x:v>Fable max C09</x:v>
      </x:c>
      <x:c r="B125" s="8" t="str">
        <x:v>outputs/stripped-3bucket-fable-max-2026-09-15/C09-parsed.json</x:v>
      </x:c>
      <x:c r="C125" s="8" t="str">
        <x:v>efdf8874a45d2cff5ac41f25c53bc436b7f65f90d17b2212d492ba9bb90708de</x:v>
      </x:c>
      <x:c r="D125" s="8" t="str">
        <x:v>Unchanged model output and short rationale; not a clinical endorsement.</x:v>
      </x:c>
    </x:row>
    <x:row r="126" ht="32" customHeight="1">
      <x:c r="A126" s="8" t="str">
        <x:v>Fable max C10</x:v>
      </x:c>
      <x:c r="B126" s="8" t="str">
        <x:v>outputs/stripped-3bucket-fable-max-2026-09-15/C10-parsed.json</x:v>
      </x:c>
      <x:c r="C126" s="8" t="str">
        <x:v>6a5f084573abbbe81dddbb15e4137216a981b3805884db8936d74cfcdf3487a0</x:v>
      </x:c>
      <x:c r="D126" s="8" t="str">
        <x:v>Unchanged model output and short rationale; not a clinical endorsement.</x:v>
      </x:c>
    </x:row>
    <x:row r="127" ht="32" customHeight="1">
      <x:c r="A127" s="8" t="str">
        <x:v>Fable max C11</x:v>
      </x:c>
      <x:c r="B127" s="8" t="str">
        <x:v>outputs/stripped-3bucket-fable-max-2026-09-15/C11-parsed.json</x:v>
      </x:c>
      <x:c r="C127" s="8" t="str">
        <x:v>b4cd569e58fc9f639e0b4c62cddeae91baf0681b978b68528ede52b59d632ccb</x:v>
      </x:c>
      <x:c r="D127" s="8" t="str">
        <x:v>Unchanged model output and short rationale; not a clinical endorsement.</x:v>
      </x:c>
    </x:row>
    <x:row r="128" ht="32" customHeight="1">
      <x:c r="A128" s="8" t="str">
        <x:v>Fable max C12</x:v>
      </x:c>
      <x:c r="B128" s="8" t="str">
        <x:v>outputs/stripped-3bucket-fable-max-2026-09-15/C12-parsed.json</x:v>
      </x:c>
      <x:c r="C128" s="8" t="str">
        <x:v>fd0522840a37e3aa55f97b4195b7613dcd1e41a5b3f161598103efcbf31e08ce</x:v>
      </x:c>
      <x:c r="D128" s="8" t="str">
        <x:v>Unchanged model output and short rationale; not a clinical endorsement.</x:v>
      </x:c>
    </x:row>
    <x:row r="129" ht="32" customHeight="1">
      <x:c r="A129" s="8" t="str">
        <x:v>Fable max C13</x:v>
      </x:c>
      <x:c r="B129" s="8" t="str">
        <x:v>outputs/stripped-3bucket-fable-max-2026-09-15/C13-parsed.json</x:v>
      </x:c>
      <x:c r="C129" s="8" t="str">
        <x:v>74c4ad06b5143c77d50c652b45a8f3045b5e2e55da977766d4bcf46987b637ab</x:v>
      </x:c>
      <x:c r="D129" s="8" t="str">
        <x:v>Unchanged model output and short rationale; not a clinical endorsement.</x:v>
      </x:c>
    </x:row>
    <x:row r="130" ht="32" customHeight="1">
      <x:c r="A130" s="8" t="str">
        <x:v>Fable max C14</x:v>
      </x:c>
      <x:c r="B130" s="8" t="str">
        <x:v>outputs/stripped-3bucket-fable-max-2026-09-15/C14-parsed.json</x:v>
      </x:c>
      <x:c r="C130" s="8" t="str">
        <x:v>2e97c00adbfc05166c4b4a7434ec7222c623b7ccfd8a13e457ad01af94c9385f</x:v>
      </x:c>
      <x:c r="D130" s="8" t="str">
        <x:v>Unchanged model output and short rationale; not a clinical endorsement.</x:v>
      </x:c>
    </x:row>
    <x:row r="131" ht="32" customHeight="1">
      <x:c r="A131" s="8" t="str">
        <x:v>Fable max C15</x:v>
      </x:c>
      <x:c r="B131" s="8" t="str">
        <x:v>outputs/stripped-3bucket-fable-max-2026-09-15/C15-parsed.json</x:v>
      </x:c>
      <x:c r="C131" s="8" t="str">
        <x:v>5b19387b37b37a8eb06dada601f9a72320ef423dbc95de5c9d20ae3b5b9df797</x:v>
      </x:c>
      <x:c r="D131" s="8" t="str">
        <x:v>Unchanged model output and short rationale; not a clinical endorsement.</x:v>
      </x:c>
    </x:row>
    <x:row r="132" ht="32" customHeight="1">
      <x:c r="A132" s="8" t="str">
        <x:v>Fable max C16</x:v>
      </x:c>
      <x:c r="B132" s="8" t="str">
        <x:v>outputs/stripped-3bucket-fable-max-2026-09-15/C16-parsed.json</x:v>
      </x:c>
      <x:c r="C132" s="8" t="str">
        <x:v>d07d52b235c8331fedacdf028395054a161dab9c9e8fcfd84a8f97ab025dc8e2</x:v>
      </x:c>
      <x:c r="D132" s="8" t="str">
        <x:v>Unchanged model output and short rationale; not a clinical endorsement.</x:v>
      </x:c>
    </x:row>
    <x:row r="133" ht="32" customHeight="1">
      <x:c r="A133" s="8" t="str">
        <x:v>Fable max C17</x:v>
      </x:c>
      <x:c r="B133" s="8" t="str">
        <x:v>outputs/stripped-3bucket-fable-max-2026-09-15/C17-parsed.json</x:v>
      </x:c>
      <x:c r="C133" s="8" t="str">
        <x:v>b059bde29e2298c1ba24948ae379c2a97ad2a40d24debd964797e9dfdb5d56ea</x:v>
      </x:c>
      <x:c r="D133" s="8" t="str">
        <x:v>Unchanged model output and short rationale; not a clinical endorsement.</x:v>
      </x:c>
    </x:row>
    <x:row r="134" ht="32" customHeight="1">
      <x:c r="A134" s="8" t="str">
        <x:v>Fable max C18</x:v>
      </x:c>
      <x:c r="B134" s="8" t="str">
        <x:v>outputs/stripped-3bucket-fable-max-2026-09-15/C18-parsed.json</x:v>
      </x:c>
      <x:c r="C134" s="8" t="str">
        <x:v>398183e918119179dc910394873cda9679ed0abd9cc1c317b822a856013597c5</x:v>
      </x:c>
      <x:c r="D134" s="8" t="str">
        <x:v>Unchanged model output and short rationale; not a clinical endorsement.</x:v>
      </x:c>
    </x:row>
    <x:row r="135" ht="32" customHeight="1">
      <x:c r="A135" s="8" t="str">
        <x:v>Fable max C19</x:v>
      </x:c>
      <x:c r="B135" s="8" t="str">
        <x:v>outputs/stripped-3bucket-fable-max-2026-09-15/C19-parsed.json</x:v>
      </x:c>
      <x:c r="C135" s="8" t="str">
        <x:v>d76303a28423e59555c6bd2b93255045e4fac7c1cc110b759ad8322bd13385ee</x:v>
      </x:c>
      <x:c r="D135" s="8" t="str">
        <x:v>Unchanged model output and short rationale; not a clinical endorsement.</x:v>
      </x:c>
    </x:row>
    <x:row r="136" ht="32" customHeight="1">
      <x:c r="A136" s="8" t="str">
        <x:v>Fable max C20</x:v>
      </x:c>
      <x:c r="B136" s="8" t="str">
        <x:v>outputs/stripped-3bucket-fable-max-2026-09-15/C20-parsed.json</x:v>
      </x:c>
      <x:c r="C136" s="8" t="str">
        <x:v>be5f7cf497cb3180b1e05bfea6f7c9d99c50e8deb68505260ece32ee61432b8e</x:v>
      </x:c>
      <x:c r="D136" s="8" t="str">
        <x:v>Unchanged model output and short rationale; not a clinical endorsement.</x:v>
      </x:c>
    </x:row>
    <x:row r="137" ht="32" customHeight="1">
      <x:c r="A137" s="8" t="str">
        <x:v>Fable max C21</x:v>
      </x:c>
      <x:c r="B137" s="8" t="str">
        <x:v>outputs/stripped-3bucket-fable-max-2026-09-15/C21-parsed.json</x:v>
      </x:c>
      <x:c r="C137" s="8" t="str">
        <x:v>dca0f3d566f83c3bb943c906648f06d3295b0a735fe06c6633c67c1527842d6d</x:v>
      </x:c>
      <x:c r="D137" s="8" t="str">
        <x:v>Unchanged model output and short rationale; not a clinical endorsement.</x:v>
      </x:c>
    </x:row>
    <x:row r="138" ht="32" customHeight="1">
      <x:c r="A138" s="8" t="str">
        <x:v>Fable max C22</x:v>
      </x:c>
      <x:c r="B138" s="8" t="str">
        <x:v>outputs/stripped-3bucket-fable-max-2026-09-15/C22-parsed.json</x:v>
      </x:c>
      <x:c r="C138" s="8" t="str">
        <x:v>226e9757e77bed3b73e0ee5dde14ce9e588c90c5b04972a85b93223ec3fbdcaa</x:v>
      </x:c>
      <x:c r="D138" s="8" t="str">
        <x:v>Unchanged model output and short rationale; not a clinical endorsement.</x:v>
      </x:c>
    </x:row>
    <x:row r="139" ht="32" customHeight="1">
      <x:c r="A139" s="8" t="str">
        <x:v>Fable max C23</x:v>
      </x:c>
      <x:c r="B139" s="8" t="str">
        <x:v>outputs/stripped-3bucket-fable-max-2026-09-15/C23-parsed.json</x:v>
      </x:c>
      <x:c r="C139" s="8" t="str">
        <x:v>d56f60222821880ba35c14d3b8e2f5b3d465b299d71f9573b356020d04ba7c1c</x:v>
      </x:c>
      <x:c r="D139" s="8" t="str">
        <x:v>Unchanged model output and short rationale; not a clinical endorsement.</x:v>
      </x:c>
    </x:row>
    <x:row r="140" ht="32" customHeight="1">
      <x:c r="A140" s="8" t="str">
        <x:v>Fable max C24</x:v>
      </x:c>
      <x:c r="B140" s="8" t="str">
        <x:v>outputs/stripped-3bucket-fable-max-2026-09-15/C24-parsed.json</x:v>
      </x:c>
      <x:c r="C140" s="8" t="str">
        <x:v>7ec711bfa77740ed7ae6ae8805a49f40fe8b300b67446e740fc9a06e932c199a</x:v>
      </x:c>
      <x:c r="D140" s="8" t="str">
        <x:v>Unchanged model output and short rationale; not a clinical endorsement.</x:v>
      </x:c>
    </x:row>
    <x:row r="141" ht="32" customHeight="1">
      <x:c r="A141" s="8" t="str">
        <x:v>Fable max C25</x:v>
      </x:c>
      <x:c r="B141" s="8" t="str">
        <x:v>outputs/stripped-3bucket-fable-max-2026-09-15/C25-parsed.json</x:v>
      </x:c>
      <x:c r="C141" s="8" t="str">
        <x:v>ce2518caab0162149d85c745ae00b243da7df7822b7d8f2a7b3294f3d3a061e2</x:v>
      </x:c>
      <x:c r="D141" s="8" t="str">
        <x:v>Unchanged model output and short rationale; not a clinical endorsement.</x:v>
      </x:c>
    </x:row>
    <x:row r="142" ht="32" customHeight="1">
      <x:c r="A142" s="8" t="str">
        <x:v>Fable max C26</x:v>
      </x:c>
      <x:c r="B142" s="8" t="str">
        <x:v>outputs/stripped-3bucket-fable-max-2026-09-15/C26-parsed.json</x:v>
      </x:c>
      <x:c r="C142" s="8" t="str">
        <x:v>9fe8a349b2dab7f5bc7bfab81b5511c5f394a14edbe1c361b650c94041a869ac</x:v>
      </x:c>
      <x:c r="D142" s="8" t="str">
        <x:v>Unchanged model output and short rationale; not a clinical endorsement.</x:v>
      </x:c>
    </x:row>
    <x:row r="143" ht="32" customHeight="1">
      <x:c r="A143" s="8" t="str">
        <x:v>Fable max C27</x:v>
      </x:c>
      <x:c r="B143" s="8" t="str">
        <x:v>outputs/stripped-3bucket-fable-max-2026-09-15/C27-parsed.json</x:v>
      </x:c>
      <x:c r="C143" s="8" t="str">
        <x:v>7470a52e5fb392547461bf00f0a40307ab5254b4fc48b78a31e05b877261b002</x:v>
      </x:c>
      <x:c r="D143" s="8" t="str">
        <x:v>Unchanged model output and short rationale; not a clinical endorsement.</x:v>
      </x:c>
    </x:row>
    <x:row r="144" ht="32" customHeight="1">
      <x:c r="A144" s="8" t="str">
        <x:v>Fable max C28</x:v>
      </x:c>
      <x:c r="B144" s="8" t="str">
        <x:v>outputs/stripped-3bucket-fable-max-2026-09-15/C28-parsed.json</x:v>
      </x:c>
      <x:c r="C144" s="8" t="str">
        <x:v>41e22f2803aa7f8c74b3a1854853a4e21992f60db5dc63b0a8e6da7bdaaa12f3</x:v>
      </x:c>
      <x:c r="D144" s="8" t="str">
        <x:v>Unchanged model output and short rationale; not a clinical endorsement.</x:v>
      </x:c>
    </x:row>
    <x:row r="145" ht="32" customHeight="1">
      <x:c r="A145" s="8" t="str">
        <x:v>Fable max C29</x:v>
      </x:c>
      <x:c r="B145" s="8" t="str">
        <x:v>outputs/stripped-3bucket-fable-max-2026-09-15/C29-parsed.json</x:v>
      </x:c>
      <x:c r="C145" s="8" t="str">
        <x:v>21d06acc25e81b68e41a78129ea67265c836e49e92ad1265adb2673b53a25fbc</x:v>
      </x:c>
      <x:c r="D145" s="8" t="str">
        <x:v>Unchanged model output and short rationale; not a clinical endorsement.</x:v>
      </x:c>
    </x:row>
    <x:row r="146" ht="32" customHeight="1">
      <x:c r="A146" s="8" t="str">
        <x:v>Fable max C30</x:v>
      </x:c>
      <x:c r="B146" s="8" t="str">
        <x:v>outputs/stripped-3bucket-fable-max-2026-09-15/C30-parsed.json</x:v>
      </x:c>
      <x:c r="C146" s="8" t="str">
        <x:v>ed5f4b82ec0e10c443deb989ca561e658a4857d1765001500745d752f42fe4db</x:v>
      </x:c>
      <x:c r="D146" s="8" t="str">
        <x:v>Unchanged model output and short rationale; not a clinical endorsement.</x:v>
      </x:c>
    </x:row>
    <x:row r="147" ht="32" customHeight="1">
      <x:c r="A147" s="8" t="str">
        <x:v>Fable max C31</x:v>
      </x:c>
      <x:c r="B147" s="8" t="str">
        <x:v>outputs/stripped-3bucket-fable-max-2026-09-15/C31-parsed.json</x:v>
      </x:c>
      <x:c r="C147" s="8" t="str">
        <x:v>5874ce8177a2ca8ebae2957459dc2a13095aee2b067080ea23829f7393578f98</x:v>
      </x:c>
      <x:c r="D147" s="8" t="str">
        <x:v>Unchanged model output and short rationale; not a clinical endorsement.</x:v>
      </x:c>
    </x:row>
    <x:row r="148" ht="32" customHeight="1">
      <x:c r="A148" s="8" t="str">
        <x:v>Fable max C32</x:v>
      </x:c>
      <x:c r="B148" s="8" t="str">
        <x:v>outputs/stripped-3bucket-fable-max-2026-09-15/C32-parsed.json</x:v>
      </x:c>
      <x:c r="C148" s="8" t="str">
        <x:v>aaf9db69a20a7590edc0a0f2adacc3e71cb4188e8944c3a561e695b967d2e3c7</x:v>
      </x:c>
      <x:c r="D148" s="8" t="str">
        <x:v>Unchanged model output and short rationale; not a clinical endorsement.</x:v>
      </x:c>
    </x:row>
    <x:row r="149" ht="32" customHeight="1">
      <x:c r="A149" s="8" t="str">
        <x:v>Fable max C33</x:v>
      </x:c>
      <x:c r="B149" s="8" t="str">
        <x:v>outputs/stripped-3bucket-fable-max-2026-09-15/C33-parsed.json</x:v>
      </x:c>
      <x:c r="C149" s="8" t="str">
        <x:v>95447845a9bcfddeaa6e49470d555f39b130571e34ca346cb16743ba0fefd9cd</x:v>
      </x:c>
      <x:c r="D149" s="8" t="str">
        <x:v>Unchanged model output and short rationale; not a clinical endorsement.</x:v>
      </x:c>
    </x:row>
    <x:row r="150" ht="32" customHeight="1">
      <x:c r="A150" s="8" t="str">
        <x:v>Fable max C34</x:v>
      </x:c>
      <x:c r="B150" s="8" t="str">
        <x:v>outputs/stripped-3bucket-fable-max-2026-09-15/C34-parsed.json</x:v>
      </x:c>
      <x:c r="C150" s="8" t="str">
        <x:v>207dfafa0f987b0ecfa36d014818c25a9f6acc12969997fa79db886ad4f10d75</x:v>
      </x:c>
      <x:c r="D150" s="8" t="str">
        <x:v>Unchanged model output and short rationale; not a clinical endorsement.</x:v>
      </x:c>
    </x:row>
    <x:row r="151" ht="32" customHeight="1">
      <x:c r="A151" s="8" t="str">
        <x:v>Fable max C35</x:v>
      </x:c>
      <x:c r="B151" s="8" t="str">
        <x:v>outputs/stripped-3bucket-fable-max-2026-09-15/C35-parsed.json</x:v>
      </x:c>
      <x:c r="C151" s="8" t="str">
        <x:v>8fb5b58cc7fa81b25001d9db71de6ab6307fb0840354f9a91e491dd41ec802e9</x:v>
      </x:c>
      <x:c r="D151" s="8" t="str">
        <x:v>Unchanged model output and short rationale; not a clinical endorsement.</x:v>
      </x:c>
    </x:row>
    <x:row r="152" ht="32" customHeight="1">
      <x:c r="A152" s="8" t="str">
        <x:v>Fable max C36</x:v>
      </x:c>
      <x:c r="B152" s="8" t="str">
        <x:v>outputs/stripped-3bucket-fable-max-2026-09-15/C36-parsed.json</x:v>
      </x:c>
      <x:c r="C152" s="8" t="str">
        <x:v>9d58508b960ce893efebba25ed8967118508e3c5d85ce07d200102b61353bad6</x:v>
      </x:c>
      <x:c r="D152" s="8" t="str">
        <x:v>Unchanged model output and short rationale; not a clinical endorsement.</x:v>
      </x:c>
    </x:row>
    <x:row r="153" ht="32" customHeight="1">
      <x:c r="A153" s="8" t="str">
        <x:v>Fable max C37</x:v>
      </x:c>
      <x:c r="B153" s="8" t="str">
        <x:v>outputs/stripped-3bucket-fable-max-2026-09-15/C37-parsed.json</x:v>
      </x:c>
      <x:c r="C153" s="8" t="str">
        <x:v>2a24e9e6eed4b49c2eea7f5b7444c388cd24e00b7ca794058cd7e295889119ad</x:v>
      </x:c>
      <x:c r="D153" s="8" t="str">
        <x:v>Unchanged model output and short rationale; not a clinical endorsement.</x:v>
      </x:c>
    </x:row>
    <x:row r="154" ht="32" customHeight="1">
      <x:c r="A154" s="8" t="str">
        <x:v>Fable max C38</x:v>
      </x:c>
      <x:c r="B154" s="8" t="str">
        <x:v>outputs/stripped-3bucket-fable-max-2026-09-15/C38-parsed.json</x:v>
      </x:c>
      <x:c r="C154" s="8" t="str">
        <x:v>49aefa73020ae55e4f438706edadae3adb22546ee34a9230cef0b91a6f79f710</x:v>
      </x:c>
      <x:c r="D154" s="8" t="str">
        <x:v>Unchanged model output and short rationale; not a clinical endorsement.</x:v>
      </x:c>
    </x:row>
    <x:row r="155" ht="32" customHeight="1">
      <x:c r="A155" s="8" t="str">
        <x:v>Fable max C39</x:v>
      </x:c>
      <x:c r="B155" s="8" t="str">
        <x:v>outputs/stripped-3bucket-fable-max-2026-09-15/C39-parsed.json</x:v>
      </x:c>
      <x:c r="C155" s="8" t="str">
        <x:v>d9b2e662237ae640300e1bf705238d7daeab2d2f0466add6c9f83c96565fe0eb</x:v>
      </x:c>
      <x:c r="D155" s="8" t="str">
        <x:v>Unchanged model output and short rationale; not a clinical endorsement.</x:v>
      </x:c>
    </x:row>
    <x:row r="156" ht="32" customHeight="1">
      <x:c r="A156" s="8" t="str">
        <x:v>Fable max C40</x:v>
      </x:c>
      <x:c r="B156" s="8" t="str">
        <x:v>outputs/stripped-3bucket-fable-max-2026-09-15/C40-parsed.json</x:v>
      </x:c>
      <x:c r="C156" s="8" t="str">
        <x:v>2d7da83c01c8541bbb0c64a14786d019ec7a66908dfa096674dcbcd8d7001fc9</x:v>
      </x:c>
      <x:c r="D156" s="8" t="str">
        <x:v>Unchanged model output and short rationale; not a clinical endorsement.</x:v>
      </x:c>
    </x:row>
    <x:row r="157" ht="32" customHeight="1">
      <x:c r="A157" s="8" t="str">
        <x:v>Fable max C41</x:v>
      </x:c>
      <x:c r="B157" s="8" t="str">
        <x:v>outputs/stripped-3bucket-fable-max-2026-09-15/C41-parsed.json</x:v>
      </x:c>
      <x:c r="C157" s="8" t="str">
        <x:v>ba93fa52588ade546d1676c1958495e590b3202b48094ef5a595dfa6a5167f78</x:v>
      </x:c>
      <x:c r="D157" s="8" t="str">
        <x:v>Unchanged model output and short rationale; not a clinical endorsement.</x:v>
      </x:c>
    </x:row>
    <x:row r="158" ht="32" customHeight="1">
      <x:c r="A158" s="8" t="str">
        <x:v>Fable max C42</x:v>
      </x:c>
      <x:c r="B158" s="8" t="str">
        <x:v>outputs/stripped-3bucket-fable-max-2026-09-15/C42-parsed.json</x:v>
      </x:c>
      <x:c r="C158" s="8" t="str">
        <x:v>f888293a352d5e6c37747c994ec7cb07f6ebd1b47a01c9ff991cd53aadd2f92e</x:v>
      </x:c>
      <x:c r="D158" s="8" t="str">
        <x:v>Unchanged model output and short rationale; not a clinical endorsement.</x:v>
      </x:c>
    </x:row>
    <x:row r="159" ht="32" customHeight="1">
      <x:c r="A159" s="8" t="str">
        <x:v>Fable max C43</x:v>
      </x:c>
      <x:c r="B159" s="8" t="str">
        <x:v>outputs/stripped-3bucket-fable-max-2026-09-15/C43-parsed.json</x:v>
      </x:c>
      <x:c r="C159" s="8" t="str">
        <x:v>450a1a8f568aac2c19b4278c068eb93a3bb1417f754268d9998531920306b4fc</x:v>
      </x:c>
      <x:c r="D159" s="8" t="str">
        <x:v>Unchanged model output and short rationale; not a clinical endorsement.</x:v>
      </x:c>
    </x:row>
    <x:row r="160" ht="32" customHeight="1">
      <x:c r="A160" s="8" t="str">
        <x:v>Fable max C44</x:v>
      </x:c>
      <x:c r="B160" s="8" t="str">
        <x:v>outputs/stripped-3bucket-fable-max-2026-09-15/C44-parsed.json</x:v>
      </x:c>
      <x:c r="C160" s="8" t="str">
        <x:v>15b08af3b86164f9137336ac617ddb3fa0bef9139e4a6418c65f08f3b15e748a</x:v>
      </x:c>
      <x:c r="D160" s="8" t="str">
        <x:v>Unchanged model output and short rationale; not a clinical endorsement.</x:v>
      </x:c>
    </x:row>
    <x:row r="161" ht="32" customHeight="1">
      <x:c r="A161" s="8" t="str">
        <x:v>Fable max C45</x:v>
      </x:c>
      <x:c r="B161" s="8" t="str">
        <x:v>outputs/stripped-3bucket-fable-max-2026-09-15/C45-parsed.json</x:v>
      </x:c>
      <x:c r="C161" s="8" t="str">
        <x:v>224d8f5fa3b512e17cd871192ebaaf68b01583703704375296b77d70a270adde</x:v>
      </x:c>
      <x:c r="D161" s="8" t="str">
        <x:v>Unchanged model output and short rationale; not a clinical endorsement.</x:v>
      </x:c>
    </x:row>
    <x:row r="162" ht="32" customHeight="1">
      <x:c r="A162" s="8" t="str">
        <x:v>Fable max C46</x:v>
      </x:c>
      <x:c r="B162" s="8" t="str">
        <x:v>outputs/stripped-3bucket-fable-max-2026-09-15/C46-parsed.json</x:v>
      </x:c>
      <x:c r="C162" s="8" t="str">
        <x:v>d3231a4a81331f94137812cfc9993a69e953fde742bdd08ef243da4b483ef476</x:v>
      </x:c>
      <x:c r="D162" s="8" t="str">
        <x:v>Unchanged model output and short rationale; not a clinical endorsement.</x:v>
      </x:c>
    </x:row>
    <x:row r="163" ht="32" customHeight="1">
      <x:c r="A163" s="8" t="str">
        <x:v>Fable max C47</x:v>
      </x:c>
      <x:c r="B163" s="8" t="str">
        <x:v>outputs/stripped-3bucket-fable-max-2026-09-15/C47-parsed.json</x:v>
      </x:c>
      <x:c r="C163" s="8" t="str">
        <x:v>2391f7c0c5b6628188d5e7ecf75d10012c5f001a5f44ab1eefd97764d2fc8de2</x:v>
      </x:c>
      <x:c r="D163" s="8" t="str">
        <x:v>Unchanged model output and short rationale; not a clinical endorsement.</x:v>
      </x:c>
    </x:row>
    <x:row r="164" ht="32" customHeight="1">
      <x:c r="A164" s="8" t="str">
        <x:v>Fable max C48</x:v>
      </x:c>
      <x:c r="B164" s="8" t="str">
        <x:v>outputs/stripped-3bucket-fable-max-2026-09-15/C48-parsed.json</x:v>
      </x:c>
      <x:c r="C164" s="8" t="str">
        <x:v>3bea7cc0057b2ed7df26e273b9eea1f870372a404366ae275b219acfbf6c0606</x:v>
      </x:c>
      <x:c r="D164" s="8" t="str">
        <x:v>Unchanged model output and short rationale; not a clinical endorsement.</x:v>
      </x:c>
    </x:row>
    <x:row r="165" ht="32" customHeight="1">
      <x:c r="A165" s="8" t="str">
        <x:v>Fable max C49</x:v>
      </x:c>
      <x:c r="B165" s="8" t="str">
        <x:v>outputs/stripped-3bucket-fable-max-2026-09-15/C49-parsed.json</x:v>
      </x:c>
      <x:c r="C165" s="8" t="str">
        <x:v>1c2bc0d51caae4c991345c0a2fba1d68360ead68650a4ed4604883f77f233d9f</x:v>
      </x:c>
      <x:c r="D165" s="8" t="str">
        <x:v>Unchanged model output and short rationale; not a clinical endorsement.</x:v>
      </x:c>
    </x:row>
    <x:row r="166" ht="32" customHeight="1">
      <x:c r="A166" s="8" t="str">
        <x:v>Fable max C50</x:v>
      </x:c>
      <x:c r="B166" s="8" t="str">
        <x:v>outputs/stripped-3bucket-fable-max-2026-09-15/C50-parsed.json</x:v>
      </x:c>
      <x:c r="C166" s="8" t="str">
        <x:v>202ce586f6acb6bae2cd270f8a0d11edc3dfc44ce98218bd6af44375fce6fcb8</x:v>
      </x:c>
      <x:c r="D166" s="8" t="str">
        <x:v>Unchanged model output and short rationale; not a clinical endorsement.</x:v>
      </x:c>
    </x:row>
    <x:row r="167" ht="32" customHeight="1">
      <x:c r="A167" s="8" t="str">
        <x:v>Five-way collapsed manifest</x:v>
      </x:c>
      <x:c r="B167" s="8" t="str">
        <x:v>outputs/stripped-baseline-2026-09-15/manifest.json</x:v>
      </x:c>
      <x:c r="C167" s="8" t="str">
        <x:v>2b25a99e4c8a0ac061596ae73a445486fb1350a81b1a203ce7a4856e01cc4f59</x:v>
      </x:c>
      <x:c r="D167" s="8" t="str">
        <x:v>Frozen provider protocol and generation provenance.</x:v>
      </x:c>
    </x:row>
    <x:row r="168" ht="32" customHeight="1">
      <x:c r="A168" s="8" t="str">
        <x:v>Five-way collapsed completion</x:v>
      </x:c>
      <x:c r="B168" s="8" t="str">
        <x:v>outputs/stripped-baseline-2026-09-15/generation-complete.json</x:v>
      </x:c>
      <x:c r="C168" s="8" t="str">
        <x:v>a2ce0253ec6b4f1622f65e4fa29a2450725da5e98a3876ac151641bcf562f73d</x:v>
      </x:c>
      <x:c r="D168" s="8" t="str">
        <x:v>Frozen usage, latency and accounting.</x:v>
      </x:c>
    </x:row>
    <x:row r="169" ht="32" customHeight="1">
      <x:c r="A169" s="8" t="str">
        <x:v>Five-way collapsed C01</x:v>
      </x:c>
      <x:c r="B169" s="8" t="str">
        <x:v>outputs/stripped-baseline-2026-09-15/C01-parsed.json</x:v>
      </x:c>
      <x:c r="C169" s="8" t="str">
        <x:v>91f7bed5073619f972f12702713db562a6758fa3d6418c4dcda3672ca33b0604</x:v>
      </x:c>
      <x:c r="D169" s="8" t="str">
        <x:v>Unchanged model output and short rationale; not a clinical endorsement.</x:v>
      </x:c>
    </x:row>
    <x:row r="170" ht="32" customHeight="1">
      <x:c r="A170" s="8" t="str">
        <x:v>Five-way collapsed C02</x:v>
      </x:c>
      <x:c r="B170" s="8" t="str">
        <x:v>outputs/stripped-baseline-2026-09-15/C02-parsed.json</x:v>
      </x:c>
      <x:c r="C170" s="8" t="str">
        <x:v>8599d7d04abf3697bc15e780bdd55ac8743a786d9c4818b238d72bc51be55c5b</x:v>
      </x:c>
      <x:c r="D170" s="8" t="str">
        <x:v>Unchanged model output and short rationale; not a clinical endorsement.</x:v>
      </x:c>
    </x:row>
    <x:row r="171" ht="32" customHeight="1">
      <x:c r="A171" s="8" t="str">
        <x:v>Five-way collapsed C03</x:v>
      </x:c>
      <x:c r="B171" s="8" t="str">
        <x:v>outputs/stripped-baseline-2026-09-15/C03-parsed.json</x:v>
      </x:c>
      <x:c r="C171" s="8" t="str">
        <x:v>8dbfe1b94be6b4232223d61a1648e62caae38674f334a28a43096a4aae90018a</x:v>
      </x:c>
      <x:c r="D171" s="8" t="str">
        <x:v>Unchanged model output and short rationale; not a clinical endorsement.</x:v>
      </x:c>
    </x:row>
    <x:row r="172" ht="32" customHeight="1">
      <x:c r="A172" s="8" t="str">
        <x:v>Five-way collapsed C04</x:v>
      </x:c>
      <x:c r="B172" s="8" t="str">
        <x:v>outputs/stripped-baseline-2026-09-15/C04-parsed.json</x:v>
      </x:c>
      <x:c r="C172" s="8" t="str">
        <x:v>4f97b6e382eb31ff9b4563726d41fcd56caeb0b67c210c4be6dbd6a7d9f2f8ce</x:v>
      </x:c>
      <x:c r="D172" s="8" t="str">
        <x:v>Unchanged model output and short rationale; not a clinical endorsement.</x:v>
      </x:c>
    </x:row>
    <x:row r="173" ht="32" customHeight="1">
      <x:c r="A173" s="8" t="str">
        <x:v>Five-way collapsed C05</x:v>
      </x:c>
      <x:c r="B173" s="8" t="str">
        <x:v>outputs/stripped-baseline-2026-09-15/C05-parsed.json</x:v>
      </x:c>
      <x:c r="C173" s="8" t="str">
        <x:v>5a47c634445a8e30ec6ff77a16d14fac85232b69224f51a9d52a9b6f85a23ecf</x:v>
      </x:c>
      <x:c r="D173" s="8" t="str">
        <x:v>Unchanged model output and short rationale; not a clinical endorsement.</x:v>
      </x:c>
    </x:row>
    <x:row r="174" ht="32" customHeight="1">
      <x:c r="A174" s="8" t="str">
        <x:v>Five-way collapsed C06</x:v>
      </x:c>
      <x:c r="B174" s="8" t="str">
        <x:v>outputs/stripped-baseline-2026-09-15/C06-parsed.json</x:v>
      </x:c>
      <x:c r="C174" s="8" t="str">
        <x:v>22d1402d1659ebaeef36e84e4bf71114cc312d91cf8de83c9f3f37fb00f3c62d</x:v>
      </x:c>
      <x:c r="D174" s="8" t="str">
        <x:v>Unchanged model output and short rationale; not a clinical endorsement.</x:v>
      </x:c>
    </x:row>
    <x:row r="175" ht="32" customHeight="1">
      <x:c r="A175" s="8" t="str">
        <x:v>Five-way collapsed C07</x:v>
      </x:c>
      <x:c r="B175" s="8" t="str">
        <x:v>outputs/stripped-baseline-2026-09-15/C07-parsed.json</x:v>
      </x:c>
      <x:c r="C175" s="8" t="str">
        <x:v>d5ff6190404be16a6d6110bda3bbeaebfeec0e1a06569e39aeff3e30646215f9</x:v>
      </x:c>
      <x:c r="D175" s="8" t="str">
        <x:v>Unchanged model output and short rationale; not a clinical endorsement.</x:v>
      </x:c>
    </x:row>
    <x:row r="176" ht="32" customHeight="1">
      <x:c r="A176" s="8" t="str">
        <x:v>Five-way collapsed C08</x:v>
      </x:c>
      <x:c r="B176" s="8" t="str">
        <x:v>outputs/stripped-baseline-2026-09-15/C08-parsed.json</x:v>
      </x:c>
      <x:c r="C176" s="8" t="str">
        <x:v>361889b7d9336f6e7613f55e1e4d2fa114b7340f49b8291ba147d6700d5120f5</x:v>
      </x:c>
      <x:c r="D176" s="8" t="str">
        <x:v>Unchanged model output and short rationale; not a clinical endorsement.</x:v>
      </x:c>
    </x:row>
    <x:row r="177" ht="32" customHeight="1">
      <x:c r="A177" s="8" t="str">
        <x:v>Five-way collapsed C09</x:v>
      </x:c>
      <x:c r="B177" s="8" t="str">
        <x:v>outputs/stripped-baseline-2026-09-15/C09-parsed.json</x:v>
      </x:c>
      <x:c r="C177" s="8" t="str">
        <x:v>a7cbfe504dfc48b414a1f7a3378ab5757087962ca570753ab350c58c163e5a6a</x:v>
      </x:c>
      <x:c r="D177" s="8" t="str">
        <x:v>Unchanged model output and short rationale; not a clinical endorsement.</x:v>
      </x:c>
    </x:row>
    <x:row r="178" ht="32" customHeight="1">
      <x:c r="A178" s="8" t="str">
        <x:v>Five-way collapsed C10</x:v>
      </x:c>
      <x:c r="B178" s="8" t="str">
        <x:v>outputs/stripped-baseline-2026-09-15/C10-parsed.json</x:v>
      </x:c>
      <x:c r="C178" s="8" t="str">
        <x:v>a49f1fcb90d2eaf8e477a45d7a935c2999215656928591939333d0d1318926c0</x:v>
      </x:c>
      <x:c r="D178" s="8" t="str">
        <x:v>Unchanged model output and short rationale; not a clinical endorsement.</x:v>
      </x:c>
    </x:row>
    <x:row r="179" ht="32" customHeight="1">
      <x:c r="A179" s="8" t="str">
        <x:v>Five-way collapsed C11</x:v>
      </x:c>
      <x:c r="B179" s="8" t="str">
        <x:v>outputs/stripped-baseline-2026-09-15/C11-parsed.json</x:v>
      </x:c>
      <x:c r="C179" s="8" t="str">
        <x:v>b7dbdba1bf6052e6e2a7c1469b420bbf3445954be422881fbab4709f392ccb3c</x:v>
      </x:c>
      <x:c r="D179" s="8" t="str">
        <x:v>Unchanged model output and short rationale; not a clinical endorsement.</x:v>
      </x:c>
    </x:row>
    <x:row r="180" ht="32" customHeight="1">
      <x:c r="A180" s="8" t="str">
        <x:v>Five-way collapsed C12</x:v>
      </x:c>
      <x:c r="B180" s="8" t="str">
        <x:v>outputs/stripped-baseline-2026-09-15/C12-parsed.json</x:v>
      </x:c>
      <x:c r="C180" s="8" t="str">
        <x:v>1bee73187fc5914e4978d5ff8da2323867013132baf57eac597f6e95051f66e8</x:v>
      </x:c>
      <x:c r="D180" s="8" t="str">
        <x:v>Unchanged model output and short rationale; not a clinical endorsement.</x:v>
      </x:c>
    </x:row>
    <x:row r="181" ht="32" customHeight="1">
      <x:c r="A181" s="8" t="str">
        <x:v>Five-way collapsed C13</x:v>
      </x:c>
      <x:c r="B181" s="8" t="str">
        <x:v>outputs/stripped-baseline-2026-09-15/C13-parsed.json</x:v>
      </x:c>
      <x:c r="C181" s="8" t="str">
        <x:v>08cd879bb4a5dd33374f91c27d13ee6bed66706eecedfb0ee7cda02d77a9423a</x:v>
      </x:c>
      <x:c r="D181" s="8" t="str">
        <x:v>Unchanged model output and short rationale; not a clinical endorsement.</x:v>
      </x:c>
    </x:row>
    <x:row r="182" ht="32" customHeight="1">
      <x:c r="A182" s="8" t="str">
        <x:v>Five-way collapsed C14</x:v>
      </x:c>
      <x:c r="B182" s="8" t="str">
        <x:v>outputs/stripped-baseline-2026-09-15/C14-parsed.json</x:v>
      </x:c>
      <x:c r="C182" s="8" t="str">
        <x:v>3c81cc94b49ef1cd8dd5d223f04758fb41165f8118203e2425759865f189a220</x:v>
      </x:c>
      <x:c r="D182" s="8" t="str">
        <x:v>Unchanged model output and short rationale; not a clinical endorsement.</x:v>
      </x:c>
    </x:row>
    <x:row r="183" ht="32" customHeight="1">
      <x:c r="A183" s="8" t="str">
        <x:v>Five-way collapsed C15</x:v>
      </x:c>
      <x:c r="B183" s="8" t="str">
        <x:v>outputs/stripped-baseline-2026-09-15/C15-parsed.json</x:v>
      </x:c>
      <x:c r="C183" s="8" t="str">
        <x:v>64c3055b27857e06fda6e38858e2c288e4a1c9dc4abdb8060bb3cdf416699edc</x:v>
      </x:c>
      <x:c r="D183" s="8" t="str">
        <x:v>Unchanged model output and short rationale; not a clinical endorsement.</x:v>
      </x:c>
    </x:row>
    <x:row r="184" ht="32" customHeight="1">
      <x:c r="A184" s="8" t="str">
        <x:v>Five-way collapsed C16</x:v>
      </x:c>
      <x:c r="B184" s="8" t="str">
        <x:v>outputs/stripped-baseline-2026-09-15/C16-parsed.json</x:v>
      </x:c>
      <x:c r="C184" s="8" t="str">
        <x:v>1e3e0fcf7f4bb87c9335154862d4b746c787c4e9a8de75aca90154cb3380d039</x:v>
      </x:c>
      <x:c r="D184" s="8" t="str">
        <x:v>Unchanged model output and short rationale; not a clinical endorsement.</x:v>
      </x:c>
    </x:row>
    <x:row r="185" ht="32" customHeight="1">
      <x:c r="A185" s="8" t="str">
        <x:v>Five-way collapsed C17</x:v>
      </x:c>
      <x:c r="B185" s="8" t="str">
        <x:v>outputs/stripped-baseline-2026-09-15/C17-parsed.json</x:v>
      </x:c>
      <x:c r="C185" s="8" t="str">
        <x:v>c52ddbc2dfbb49bf11a5d4db00133fe17cee4b1a7f142cd4307835665f3e588e</x:v>
      </x:c>
      <x:c r="D185" s="8" t="str">
        <x:v>Unchanged model output and short rationale; not a clinical endorsement.</x:v>
      </x:c>
    </x:row>
    <x:row r="186" ht="32" customHeight="1">
      <x:c r="A186" s="8" t="str">
        <x:v>Five-way collapsed C18</x:v>
      </x:c>
      <x:c r="B186" s="8" t="str">
        <x:v>outputs/stripped-baseline-2026-09-15/C18-parsed.json</x:v>
      </x:c>
      <x:c r="C186" s="8" t="str">
        <x:v>75807b73ab74fc05dd1210b601b3aa3d7431de7e12cdf8b041d3f581cb095e45</x:v>
      </x:c>
      <x:c r="D186" s="8" t="str">
        <x:v>Unchanged model output and short rationale; not a clinical endorsement.</x:v>
      </x:c>
    </x:row>
    <x:row r="187" ht="32" customHeight="1">
      <x:c r="A187" s="8" t="str">
        <x:v>Five-way collapsed C19</x:v>
      </x:c>
      <x:c r="B187" s="8" t="str">
        <x:v>outputs/stripped-baseline-2026-09-15/C19-parsed.json</x:v>
      </x:c>
      <x:c r="C187" s="8" t="str">
        <x:v>9022dac3ff8cdee986b16ff387c4217f00dba1b260f988cdb610551b3df7cb04</x:v>
      </x:c>
      <x:c r="D187" s="8" t="str">
        <x:v>Unchanged model output and short rationale; not a clinical endorsement.</x:v>
      </x:c>
    </x:row>
    <x:row r="188" ht="32" customHeight="1">
      <x:c r="A188" s="8" t="str">
        <x:v>Five-way collapsed C20</x:v>
      </x:c>
      <x:c r="B188" s="8" t="str">
        <x:v>outputs/stripped-baseline-2026-09-15/C20-parsed.json</x:v>
      </x:c>
      <x:c r="C188" s="8" t="str">
        <x:v>c3f19c136ed8c66260d4ed241b70b8fbf19aa2ca4fca6d6674ea780b7a0bd986</x:v>
      </x:c>
      <x:c r="D188" s="8" t="str">
        <x:v>Unchanged model output and short rationale; not a clinical endorsement.</x:v>
      </x:c>
    </x:row>
    <x:row r="189" ht="32" customHeight="1">
      <x:c r="A189" s="8" t="str">
        <x:v>Five-way collapsed C21</x:v>
      </x:c>
      <x:c r="B189" s="8" t="str">
        <x:v>outputs/stripped-baseline-2026-09-15/C21-parsed.json</x:v>
      </x:c>
      <x:c r="C189" s="8" t="str">
        <x:v>c9381d9970100c0e5faf0fbc766bdf4b15494d422bb77cd168f63b9116bf4744</x:v>
      </x:c>
      <x:c r="D189" s="8" t="str">
        <x:v>Unchanged model output and short rationale; not a clinical endorsement.</x:v>
      </x:c>
    </x:row>
    <x:row r="190" ht="32" customHeight="1">
      <x:c r="A190" s="8" t="str">
        <x:v>Five-way collapsed C22</x:v>
      </x:c>
      <x:c r="B190" s="8" t="str">
        <x:v>outputs/stripped-baseline-2026-09-15/C22-parsed.json</x:v>
      </x:c>
      <x:c r="C190" s="8" t="str">
        <x:v>198978379cbc2c237af269922ff09e56e58bdf414bec12aa1511db823396e8fc</x:v>
      </x:c>
      <x:c r="D190" s="8" t="str">
        <x:v>Unchanged model output and short rationale; not a clinical endorsement.</x:v>
      </x:c>
    </x:row>
    <x:row r="191" ht="32" customHeight="1">
      <x:c r="A191" s="8" t="str">
        <x:v>Five-way collapsed C23</x:v>
      </x:c>
      <x:c r="B191" s="8" t="str">
        <x:v>outputs/stripped-baseline-2026-09-15/C23-parsed.json</x:v>
      </x:c>
      <x:c r="C191" s="8" t="str">
        <x:v>c89fd34f83a58151dafe86a98bf738a8e81c0d2b5999caf34f5639d27fef1b08</x:v>
      </x:c>
      <x:c r="D191" s="8" t="str">
        <x:v>Unchanged model output and short rationale; not a clinical endorsement.</x:v>
      </x:c>
    </x:row>
    <x:row r="192" ht="32" customHeight="1">
      <x:c r="A192" s="8" t="str">
        <x:v>Five-way collapsed C24</x:v>
      </x:c>
      <x:c r="B192" s="8" t="str">
        <x:v>outputs/stripped-baseline-2026-09-15/C24-parsed.json</x:v>
      </x:c>
      <x:c r="C192" s="8" t="str">
        <x:v>c08c3f3af0803004f9fd756a93d535bd3f7a52d0020b431c63292ef31491b5a9</x:v>
      </x:c>
      <x:c r="D192" s="8" t="str">
        <x:v>Unchanged model output and short rationale; not a clinical endorsement.</x:v>
      </x:c>
    </x:row>
    <x:row r="193" ht="32" customHeight="1">
      <x:c r="A193" s="8" t="str">
        <x:v>Five-way collapsed C25</x:v>
      </x:c>
      <x:c r="B193" s="8" t="str">
        <x:v>outputs/stripped-baseline-2026-09-15/C25-parsed.json</x:v>
      </x:c>
      <x:c r="C193" s="8" t="str">
        <x:v>ccb01ec17f87324b02bbfb94d17ae19f75790948ec344f8141c4c03b2e0f8e22</x:v>
      </x:c>
      <x:c r="D193" s="8" t="str">
        <x:v>Unchanged model output and short rationale; not a clinical endorsement.</x:v>
      </x:c>
    </x:row>
    <x:row r="194" ht="32" customHeight="1">
      <x:c r="A194" s="8" t="str">
        <x:v>Five-way collapsed C26</x:v>
      </x:c>
      <x:c r="B194" s="8" t="str">
        <x:v>outputs/stripped-baseline-2026-09-15/C26-parsed.json</x:v>
      </x:c>
      <x:c r="C194" s="8" t="str">
        <x:v>d36edbe31f5ded5f6ab335477b30f48dd867e01b72eeeefab8e6d50599078c52</x:v>
      </x:c>
      <x:c r="D194" s="8" t="str">
        <x:v>Unchanged model output and short rationale; not a clinical endorsement.</x:v>
      </x:c>
    </x:row>
    <x:row r="195" ht="32" customHeight="1">
      <x:c r="A195" s="8" t="str">
        <x:v>Five-way collapsed C27</x:v>
      </x:c>
      <x:c r="B195" s="8" t="str">
        <x:v>outputs/stripped-baseline-2026-09-15/C27-parsed.json</x:v>
      </x:c>
      <x:c r="C195" s="8" t="str">
        <x:v>ea8357d2b18918f6e4531edd9d8e8e1103e61483f060fe3aff75c8c5b1df0299</x:v>
      </x:c>
      <x:c r="D195" s="8" t="str">
        <x:v>Unchanged model output and short rationale; not a clinical endorsement.</x:v>
      </x:c>
    </x:row>
    <x:row r="196" ht="32" customHeight="1">
      <x:c r="A196" s="8" t="str">
        <x:v>Five-way collapsed C28</x:v>
      </x:c>
      <x:c r="B196" s="8" t="str">
        <x:v>outputs/stripped-baseline-2026-09-15/C28-parsed.json</x:v>
      </x:c>
      <x:c r="C196" s="8" t="str">
        <x:v>219ff281b0219f6cd18bd77a71e7126a5af7847a5ea97ac53df15f09edf8713f</x:v>
      </x:c>
      <x:c r="D196" s="8" t="str">
        <x:v>Unchanged model output and short rationale; not a clinical endorsement.</x:v>
      </x:c>
    </x:row>
    <x:row r="197" ht="32" customHeight="1">
      <x:c r="A197" s="8" t="str">
        <x:v>Five-way collapsed C29</x:v>
      </x:c>
      <x:c r="B197" s="8" t="str">
        <x:v>outputs/stripped-baseline-2026-09-15/C29-parsed.json</x:v>
      </x:c>
      <x:c r="C197" s="8" t="str">
        <x:v>9221b7e2189bff1a506097c4e861012a5f37460d9e63ccff3660081d9503327f</x:v>
      </x:c>
      <x:c r="D197" s="8" t="str">
        <x:v>Unchanged model output and short rationale; not a clinical endorsement.</x:v>
      </x:c>
    </x:row>
    <x:row r="198" ht="32" customHeight="1">
      <x:c r="A198" s="8" t="str">
        <x:v>Five-way collapsed C30</x:v>
      </x:c>
      <x:c r="B198" s="8" t="str">
        <x:v>outputs/stripped-baseline-2026-09-15/C30-parsed.json</x:v>
      </x:c>
      <x:c r="C198" s="8" t="str">
        <x:v>f7beb39743e1de8a8e3c046f29682f8c0693ed0620249c2898394b5e21bc155b</x:v>
      </x:c>
      <x:c r="D198" s="8" t="str">
        <x:v>Unchanged model output and short rationale; not a clinical endorsement.</x:v>
      </x:c>
    </x:row>
    <x:row r="199" ht="32" customHeight="1">
      <x:c r="A199" s="8" t="str">
        <x:v>Five-way collapsed C31</x:v>
      </x:c>
      <x:c r="B199" s="8" t="str">
        <x:v>outputs/stripped-baseline-2026-09-15/C31-parsed.json</x:v>
      </x:c>
      <x:c r="C199" s="8" t="str">
        <x:v>fc0363e227a5e6234161326c75bbbd9564d35918f391b922e05e72b6eee24129</x:v>
      </x:c>
      <x:c r="D199" s="8" t="str">
        <x:v>Unchanged model output and short rationale; not a clinical endorsement.</x:v>
      </x:c>
    </x:row>
    <x:row r="200" ht="32" customHeight="1">
      <x:c r="A200" s="8" t="str">
        <x:v>Five-way collapsed C32</x:v>
      </x:c>
      <x:c r="B200" s="8" t="str">
        <x:v>outputs/stripped-baseline-2026-09-15/C32-parsed.json</x:v>
      </x:c>
      <x:c r="C200" s="8" t="str">
        <x:v>a73a36a5c9264dae2faa43c583ce0030b8844998fc0f216bd8240b0379b0b1dc</x:v>
      </x:c>
      <x:c r="D200" s="8" t="str">
        <x:v>Unchanged model output and short rationale; not a clinical endorsement.</x:v>
      </x:c>
    </x:row>
    <x:row r="201" ht="32" customHeight="1">
      <x:c r="A201" s="8" t="str">
        <x:v>Five-way collapsed C33</x:v>
      </x:c>
      <x:c r="B201" s="8" t="str">
        <x:v>outputs/stripped-baseline-2026-09-15/C33-parsed.json</x:v>
      </x:c>
      <x:c r="C201" s="8" t="str">
        <x:v>77c7ed13227825b703fa2fbe7e4812d60d1c232592bb1f659b486b273cb5f633</x:v>
      </x:c>
      <x:c r="D201" s="8" t="str">
        <x:v>Unchanged model output and short rationale; not a clinical endorsement.</x:v>
      </x:c>
    </x:row>
    <x:row r="202" ht="32" customHeight="1">
      <x:c r="A202" s="8" t="str">
        <x:v>Five-way collapsed C34</x:v>
      </x:c>
      <x:c r="B202" s="8" t="str">
        <x:v>outputs/stripped-baseline-2026-09-15/C34-parsed.json</x:v>
      </x:c>
      <x:c r="C202" s="8" t="str">
        <x:v>a9e0b000c845d337298d9fb166243a1669595269372f27814f7577635e2478cc</x:v>
      </x:c>
      <x:c r="D202" s="8" t="str">
        <x:v>Unchanged model output and short rationale; not a clinical endorsement.</x:v>
      </x:c>
    </x:row>
    <x:row r="203" ht="32" customHeight="1">
      <x:c r="A203" s="8" t="str">
        <x:v>Five-way collapsed C35</x:v>
      </x:c>
      <x:c r="B203" s="8" t="str">
        <x:v>outputs/stripped-baseline-2026-09-15/C35-parsed.json</x:v>
      </x:c>
      <x:c r="C203" s="8" t="str">
        <x:v>2535713c45ebaf78a84c03102b7b90266e70ee1e11c4ba1703bc5b84c46b56d3</x:v>
      </x:c>
      <x:c r="D203" s="8" t="str">
        <x:v>Unchanged model output and short rationale; not a clinical endorsement.</x:v>
      </x:c>
    </x:row>
    <x:row r="204" ht="32" customHeight="1">
      <x:c r="A204" s="8" t="str">
        <x:v>Five-way collapsed C36</x:v>
      </x:c>
      <x:c r="B204" s="8" t="str">
        <x:v>outputs/stripped-baseline-2026-09-15/C36-parsed.json</x:v>
      </x:c>
      <x:c r="C204" s="8" t="str">
        <x:v>a4f1d4a71841224bc444507f391e499218e5ea8de98cab9d719b3babe0113cb8</x:v>
      </x:c>
      <x:c r="D204" s="8" t="str">
        <x:v>Unchanged model output and short rationale; not a clinical endorsement.</x:v>
      </x:c>
    </x:row>
    <x:row r="205" ht="32" customHeight="1">
      <x:c r="A205" s="8" t="str">
        <x:v>Five-way collapsed C37</x:v>
      </x:c>
      <x:c r="B205" s="8" t="str">
        <x:v>outputs/stripped-baseline-2026-09-15/C37-parsed.json</x:v>
      </x:c>
      <x:c r="C205" s="8" t="str">
        <x:v>1f8edd716f6d214fe6eafe0cbc03b7947c88d83344e9a68c7135e7c11465f4e7</x:v>
      </x:c>
      <x:c r="D205" s="8" t="str">
        <x:v>Unchanged model output and short rationale; not a clinical endorsement.</x:v>
      </x:c>
    </x:row>
    <x:row r="206" ht="32" customHeight="1">
      <x:c r="A206" s="8" t="str">
        <x:v>Five-way collapsed C38</x:v>
      </x:c>
      <x:c r="B206" s="8" t="str">
        <x:v>outputs/stripped-baseline-2026-09-15/C38-parsed.json</x:v>
      </x:c>
      <x:c r="C206" s="8" t="str">
        <x:v>a0a7c0e1a5ff63c00d62a66ccb4ec4f52fb74a6cc93dfcc5a3893413b5b8d2c1</x:v>
      </x:c>
      <x:c r="D206" s="8" t="str">
        <x:v>Unchanged model output and short rationale; not a clinical endorsement.</x:v>
      </x:c>
    </x:row>
    <x:row r="207" ht="32" customHeight="1">
      <x:c r="A207" s="8" t="str">
        <x:v>Five-way collapsed C39</x:v>
      </x:c>
      <x:c r="B207" s="8" t="str">
        <x:v>outputs/stripped-baseline-2026-09-15/C39-parsed.json</x:v>
      </x:c>
      <x:c r="C207" s="8" t="str">
        <x:v>66a41cae485f6cfca7d9850e1cc32f043a52ee594a0c68dc71326d0a527e2688</x:v>
      </x:c>
      <x:c r="D207" s="8" t="str">
        <x:v>Unchanged model output and short rationale; not a clinical endorsement.</x:v>
      </x:c>
    </x:row>
    <x:row r="208" ht="32" customHeight="1">
      <x:c r="A208" s="8" t="str">
        <x:v>Five-way collapsed C40</x:v>
      </x:c>
      <x:c r="B208" s="8" t="str">
        <x:v>outputs/stripped-baseline-2026-09-15/C40-parsed.json</x:v>
      </x:c>
      <x:c r="C208" s="8" t="str">
        <x:v>feb512117c7323239e35bf0819f776203c7625cf0c79b7a3281063942aa7048f</x:v>
      </x:c>
      <x:c r="D208" s="8" t="str">
        <x:v>Unchanged model output and short rationale; not a clinical endorsement.</x:v>
      </x:c>
    </x:row>
    <x:row r="209" ht="32" customHeight="1">
      <x:c r="A209" s="8" t="str">
        <x:v>Five-way collapsed C41</x:v>
      </x:c>
      <x:c r="B209" s="8" t="str">
        <x:v>outputs/stripped-baseline-2026-09-15/C41-parsed.json</x:v>
      </x:c>
      <x:c r="C209" s="8" t="str">
        <x:v>a95ee24ba5b164ba105c14f32d939705cf5f494d39d3b975a350a1234571286c</x:v>
      </x:c>
      <x:c r="D209" s="8" t="str">
        <x:v>Unchanged model output and short rationale; not a clinical endorsement.</x:v>
      </x:c>
    </x:row>
    <x:row r="210" ht="32" customHeight="1">
      <x:c r="A210" s="8" t="str">
        <x:v>Five-way collapsed C42</x:v>
      </x:c>
      <x:c r="B210" s="8" t="str">
        <x:v>outputs/stripped-baseline-2026-09-15/C42-parsed.json</x:v>
      </x:c>
      <x:c r="C210" s="8" t="str">
        <x:v>14c45362b4d136e153d4fae69db1a9874629ca1bf9d395e11e35fb1a0be95664</x:v>
      </x:c>
      <x:c r="D210" s="8" t="str">
        <x:v>Unchanged model output and short rationale; not a clinical endorsement.</x:v>
      </x:c>
    </x:row>
    <x:row r="211" ht="32" customHeight="1">
      <x:c r="A211" s="8" t="str">
        <x:v>Five-way collapsed C43</x:v>
      </x:c>
      <x:c r="B211" s="8" t="str">
        <x:v>outputs/stripped-baseline-2026-09-15/C43-parsed.json</x:v>
      </x:c>
      <x:c r="C211" s="8" t="str">
        <x:v>5fb06b9375459caa809dc5241d3ba1f278b2f8133657377a99760e1238961963</x:v>
      </x:c>
      <x:c r="D211" s="8" t="str">
        <x:v>Unchanged model output and short rationale; not a clinical endorsement.</x:v>
      </x:c>
    </x:row>
    <x:row r="212" ht="32" customHeight="1">
      <x:c r="A212" s="8" t="str">
        <x:v>Five-way collapsed C44</x:v>
      </x:c>
      <x:c r="B212" s="8" t="str">
        <x:v>outputs/stripped-baseline-2026-09-15/C44-parsed.json</x:v>
      </x:c>
      <x:c r="C212" s="8" t="str">
        <x:v>412e839baba8fc995d42f827cea82bf01dc1adcfa551894ffb0a84ab52a0ab38</x:v>
      </x:c>
      <x:c r="D212" s="8" t="str">
        <x:v>Unchanged model output and short rationale; not a clinical endorsement.</x:v>
      </x:c>
    </x:row>
    <x:row r="213" ht="32" customHeight="1">
      <x:c r="A213" s="8" t="str">
        <x:v>Five-way collapsed C45</x:v>
      </x:c>
      <x:c r="B213" s="8" t="str">
        <x:v>outputs/stripped-baseline-2026-09-15/C45-parsed.json</x:v>
      </x:c>
      <x:c r="C213" s="8" t="str">
        <x:v>dd302c3d5ff4725049a0ee30e025acc299dc31599e56d91bb1f143b6b830ca26</x:v>
      </x:c>
      <x:c r="D213" s="8" t="str">
        <x:v>Unchanged model output and short rationale; not a clinical endorsement.</x:v>
      </x:c>
    </x:row>
    <x:row r="214" ht="32" customHeight="1">
      <x:c r="A214" s="8" t="str">
        <x:v>Five-way collapsed C46</x:v>
      </x:c>
      <x:c r="B214" s="8" t="str">
        <x:v>outputs/stripped-baseline-2026-09-15/C46-parsed.json</x:v>
      </x:c>
      <x:c r="C214" s="8" t="str">
        <x:v>ed3906603fa0bbd4258d2f1d5a5cd60a180c8f104b5fe539b8b8cc146a29ddee</x:v>
      </x:c>
      <x:c r="D214" s="8" t="str">
        <x:v>Unchanged model output and short rationale; not a clinical endorsement.</x:v>
      </x:c>
    </x:row>
    <x:row r="215" ht="32" customHeight="1">
      <x:c r="A215" s="8" t="str">
        <x:v>Five-way collapsed C47</x:v>
      </x:c>
      <x:c r="B215" s="8" t="str">
        <x:v>outputs/stripped-baseline-2026-09-15/C47-parsed.json</x:v>
      </x:c>
      <x:c r="C215" s="8" t="str">
        <x:v>e3dfecf682c70e85442fbe9e2b7695d75ca6dcaf7bcc0c47e4f50404757129c6</x:v>
      </x:c>
      <x:c r="D215" s="8" t="str">
        <x:v>Unchanged model output and short rationale; not a clinical endorsement.</x:v>
      </x:c>
    </x:row>
    <x:row r="216" ht="32" customHeight="1">
      <x:c r="A216" s="8" t="str">
        <x:v>Five-way collapsed C48</x:v>
      </x:c>
      <x:c r="B216" s="8" t="str">
        <x:v>outputs/stripped-baseline-2026-09-15/C48-parsed.json</x:v>
      </x:c>
      <x:c r="C216" s="8" t="str">
        <x:v>954fc5db48b7a0bd4810afdb9fafb2937a9c4f39dcdb736011b7fd97c88f8f5c</x:v>
      </x:c>
      <x:c r="D216" s="8" t="str">
        <x:v>Unchanged model output and short rationale; not a clinical endorsement.</x:v>
      </x:c>
    </x:row>
    <x:row r="217" ht="32" customHeight="1">
      <x:c r="A217" s="8" t="str">
        <x:v>Five-way collapsed C49</x:v>
      </x:c>
      <x:c r="B217" s="8" t="str">
        <x:v>outputs/stripped-baseline-2026-09-15/C49-parsed.json</x:v>
      </x:c>
      <x:c r="C217" s="8" t="str">
        <x:v>555a2ae4dfca210131255bad3ba16ca6a082b566ea8b8b05ff335cc31d856873</x:v>
      </x:c>
      <x:c r="D217" s="8" t="str">
        <x:v>Unchanged model output and short rationale; not a clinical endorsement.</x:v>
      </x:c>
    </x:row>
    <x:row r="218" ht="32" customHeight="1">
      <x:c r="A218" s="8" t="str">
        <x:v>Five-way collapsed C50</x:v>
      </x:c>
      <x:c r="B218" s="8" t="str">
        <x:v>outputs/stripped-baseline-2026-09-15/C50-parsed.json</x:v>
      </x:c>
      <x:c r="C218" s="8" t="str">
        <x:v>e9d09279f6e463c9b7293ab51657939933da48d83149379445a788c9f8354db9</x:v>
      </x:c>
      <x:c r="D218" s="8" t="str">
        <x:v>Unchanged model output and short rationale; not a clinical endorsement.</x:v>
      </x:c>
    </x:row>
    <x:row r="219">
      <x:c r="A219" s="2" t="str">
        <x:v>V25 scorecard</x:v>
      </x:c>
      <x:c r="B219" s="2" t="str">
        <x:v>outputs/v25-path-b-complete-2026-09-15/scorecard.json</x:v>
      </x:c>
      <x:c r="C219" s="2" t="str">
        <x:v>38c8c460d188b6af31c63dff75d97890fcf8d112ba5f2192e67f0a00a0227bf8</x:v>
      </x:c>
      <x:c r="D219" s="2" t="str">
        <x:v>Historical exact-route releases: 27/50 complete and 21/49 delivered agreement.</x:v>
      </x:c>
    </x:row>
    <x:row r="220">
      <x:c r="A220" s="2"/>
      <x:c r="B220" s="2"/>
      <x:c r="C220" s="2"/>
      <x:c r="D220" s="2"/>
    </x:row>
  </x:sheetData>
  <x:pageMargins left="0.7" right="0.7" top="0.75" bottom="0.75" header="0.3" footer="0.3"/>
  <x:tableParts count="1">
    <x:tablePart xmlns:r="http://schemas.openxmlformats.org/officeDocument/2006/relationships" r:id="R24aba3e35a0a47cc"/>
  </x:tableParts>
</x:worksheet>
</file>