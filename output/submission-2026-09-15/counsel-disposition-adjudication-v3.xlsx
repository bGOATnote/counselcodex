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0eae94fb8948ef" /></Relationships>
</file>

<file path=xl/workbook.xml><?xml version="1.0" encoding="utf-8"?>
<x:workbook xmlns:x="http://schemas.openxmlformats.org/spreadsheetml/2006/main">
  <x:sheets>
    <x:sheet xmlns:r="http://schemas.openxmlformats.org/officeDocument/2006/relationships" name="Summary" sheetId="1" r:id="Rd897ba682b4a4391"/>
    <x:sheet xmlns:r="http://schemas.openxmlformats.org/officeDocument/2006/relationships" name="Clinical review" sheetId="2" r:id="R0f96f86bf62b4e67"/>
    <x:sheet xmlns:r="http://schemas.openxmlformats.org/officeDocument/2006/relationships" name="Astra differences" sheetId="3" r:id="R970a6c93597c4990"/>
    <x:sheet xmlns:r="http://schemas.openxmlformats.org/officeDocument/2006/relationships" name="Frozen outputs" sheetId="4" r:id="R620ac08938f444fc"/>
    <x:sheet xmlns:r="http://schemas.openxmlformats.org/officeDocument/2006/relationships" name="Reference" sheetId="5" r:id="R731810cfef634be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8354A"/>
      <x:name val="Arial"/>
    </x:font>
    <x:font>
      <x:b/>
      <x:sz val="15"/>
      <x:color rgb="FF243866"/>
      <x:name val="Arial"/>
    </x:font>
    <x:font>
      <x:b/>
      <x:sz val="10"/>
      <x:color rgb="FFFFFFFF"/>
      <x:name val="Arial"/>
    </x:font>
  </x:fonts>
  <x:fills count="4">
    <x:fill>
      <x:patternFill patternType="none"/>
    </x:fill>
    <x:fill>
      <x:patternFill patternType="gray125"/>
    </x:fill>
    <x:fill>
      <x:patternFill patternType="solid">
        <x:fgColor rgb="FF243866"/>
      </x:patternFill>
    </x:fill>
    <x:fill>
      <x:patternFill patternType="solid">
        <x:fgColor rgb="FFEDF1F5"/>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cellXfs>
  <x:cellStyles count="1">
    <x:cellStyle name="Normal" xfId="0"/>
  </x:cellStyles>
  <x:dxfs count="2">
    <x:dxf>
      <x:fill>
        <x:patternFill patternType="solid">
          <x:bgColor rgb="FFFFF1D6"/>
        </x:patternFill>
      </x:fill>
    </x:dxf>
    <x:dxf>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92dc9412792449d" /><Relationship Type="http://schemas.openxmlformats.org/officeDocument/2006/relationships/theme" Target="/xl/theme/theme1.xml" Id="R6fae64472b534d7b" /><Relationship Type="http://schemas.openxmlformats.org/officeDocument/2006/relationships/sharedStrings" Target="/xl/sharedStrings.xml" Id="R736417a6ea3542ca" /><Relationship Type="http://schemas.openxmlformats.org/officeDocument/2006/relationships/worksheet" Target="/xl/worksheets/sheet1.xml" Id="Rd897ba682b4a4391" /><Relationship Type="http://schemas.openxmlformats.org/officeDocument/2006/relationships/worksheet" Target="/xl/worksheets/sheet2.xml" Id="R0f96f86bf62b4e67" /><Relationship Type="http://schemas.openxmlformats.org/officeDocument/2006/relationships/worksheet" Target="/xl/worksheets/sheet3.xml" Id="R970a6c93597c4990" /><Relationship Type="http://schemas.openxmlformats.org/officeDocument/2006/relationships/worksheet" Target="/xl/worksheets/sheet4.xml" Id="R620ac08938f444fc" /><Relationship Type="http://schemas.openxmlformats.org/officeDocument/2006/relationships/worksheet" Target="/xl/worksheets/sheet5.xml" Id="R731810cfef634be8" /></Relationships>
</file>

<file path=xl/tables/table1.xml><?xml version="1.0" encoding="utf-8"?>
<x:table xmlns:x="http://schemas.openxmlformats.org/spreadsheetml/2006/main" id="3" name="ClinicalAmendments" displayName="ClinicalAmendments" ref="A7:H13" headerRowCount="1" totalsRowCount="0" totalsRowShown="0">
  <x:autoFilter ref="A7:H13"/>
  <x:tableColumns count="8">
    <x:tableColumn id="1" name="Case"/>
    <x:tableColumn id="2" name="Exact message"/>
    <x:tableColumn id="3" name="v2 target"/>
    <x:tableColumn id="4" name="v3 target"/>
    <x:tableColumn id="5" name="Fable disposition"/>
    <x:tableColumn id="6" name="Fable clinician action"/>
    <x:tableColumn id="7" name="Physician adjudication"/>
    <x:tableColumn id="8" name="Unresolved rationale review"/>
  </x:tableColumns>
  <x:tableStyleInfo name="TableStyleLight9" showFirstColumn="0" showLastColumn="0" showRowStripes="1" showColumnStripes="0"/>
</x:table>
</file>

<file path=xl/tables/table2.xml><?xml version="1.0" encoding="utf-8"?>
<x:table xmlns:x="http://schemas.openxmlformats.org/spreadsheetml/2006/main" id="4" name="AstraFableDifferences" displayName="AstraFableDifferences" ref="A7:H10" headerRowCount="1" totalsRowCount="0" totalsRowShown="0">
  <x:autoFilter ref="A7:H10"/>
  <x:tableColumns count="8">
    <x:tableColumn id="1" name="Case"/>
    <x:tableColumn id="2" name="Exact message"/>
    <x:tableColumn id="3" name="Physician v3 target"/>
    <x:tableColumn id="4" name="Fable disposition"/>
    <x:tableColumn id="5" name="Exact Fable rationale"/>
    <x:tableColumn id="6" name="Both Astra dispositions"/>
    <x:tableColumn id="7" name="Exact Astra extra-high rationale"/>
    <x:tableColumn id="8" name="Exact Astra max rationale"/>
  </x:tableColumns>
  <x:tableStyleInfo name="TableStyleLight9" showFirstColumn="0" showLastColumn="0" showRowStripes="1" showColumnStripes="0"/>
</x:table>
</file>

<file path=xl/tables/table3.xml><?xml version="1.0" encoding="utf-8"?>
<x:table xmlns:x="http://schemas.openxmlformats.org/spreadsheetml/2006/main" id="2" name="FrozenResponses" displayName="FrozenResponses" ref="A7:M307" headerRowCount="1" totalsRowCount="0" totalsRowShown="0">
  <x:autoFilter ref="A7:M307"/>
  <x:tableColumns count="13">
    <x:tableColumn id="1" name="Run"/>
    <x:tableColumn id="2" name="Case"/>
    <x:tableColumn id="3" name="Original disposition"/>
    <x:tableColumn id="4" name="Three-bucket disposition"/>
    <x:tableColumn id="5" name="v2 target"/>
    <x:tableColumn id="6" name="v3 target"/>
    <x:tableColumn id="7" name="v2 included"/>
    <x:tableColumn id="8" name="v2 agreement"/>
    <x:tableColumn id="9" name="v3 agreement"/>
    <x:tableColumn id="10" name="v3 common 49"/>
    <x:tableColumn id="11" name="Clinician action"/>
    <x:tableColumn id="12" name="Exact frozen rationale"/>
    <x:tableColumn id="13" name="Source file"/>
  </x:tableColumns>
  <x:tableStyleInfo name="TableStyleLight9" showFirstColumn="0" showLastColumn="0" showRowStripes="1" showColumnStripes="0"/>
</x:table>
</file>

<file path=xl/tables/table4.xml><?xml version="1.0" encoding="utf-8"?>
<x:table xmlns:x="http://schemas.openxmlformats.org/spreadsheetml/2006/main" id="1" name="ReferenceCases" displayName="ReferenceCases" ref="A7:F57" headerRowCount="1" totalsRowCount="0" totalsRowShown="0">
  <x:autoFilter ref="A7:F57"/>
  <x:tableColumns count="6">
    <x:tableColumn id="1" name="Case"/>
    <x:tableColumn id="2" name="Exact synthetic message"/>
    <x:tableColumn id="3" name="Previous five-way accepted routes"/>
    <x:tableColumn id="4" name="v2 mapped target"/>
    <x:tableColumn id="5" name="v3 target"/>
    <x:tableColumn id="6" name="Amendment"/>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09dc74aebe64db3" /></Relationships>
</file>

<file path=xl/worksheets/_rels/sheet3.xml.rels>&#65279;<?xml version="1.0" encoding="utf-8"?><Relationships xmlns="http://schemas.openxmlformats.org/package/2006/relationships"><Relationship Type="http://schemas.openxmlformats.org/officeDocument/2006/relationships/table" Target="/xl/tables/table2.xml" Id="Rb99e2424b6304d8b" /></Relationships>
</file>

<file path=xl/worksheets/_rels/sheet4.xml.rels>&#65279;<?xml version="1.0" encoding="utf-8"?><Relationships xmlns="http://schemas.openxmlformats.org/package/2006/relationships"><Relationship Type="http://schemas.openxmlformats.org/officeDocument/2006/relationships/table" Target="/xl/tables/table3.xml" Id="Rafa8a1ce83524c1f" /></Relationships>
</file>

<file path=xl/worksheets/_rels/sheet5.xml.rels>&#65279;<?xml version="1.0" encoding="utf-8"?><Relationships xmlns="http://schemas.openxmlformats.org/package/2006/relationships"><Relationship Type="http://schemas.openxmlformats.org/officeDocument/2006/relationships/table" Target="/xl/tables/table4.xml" Id="Ra8d8c584ea8f44d9" /></Relationships>
</file>

<file path=xl/worksheets/sheet1.xml><?xml version="1.0" encoding="utf-8"?>
<x:worksheet xmlns:x="http://schemas.openxmlformats.org/spreadsheetml/2006/main">
  <x:sheetPr>
    <x:tabColor rgb="FF243866"/>
  </x:sheetPr>
  <x:sheetViews>
    <x:sheetView showGridLines="0" workbookViewId="0"/>
  </x:sheetViews>
  <x:sheetFormatPr defaultRowHeight="15"/>
  <x:cols>
    <x:col min="1" max="1" width="31" hidden="0" customWidth="1"/>
    <x:col min="2" max="2" width="11" hidden="0" customWidth="1"/>
    <x:col min="3" max="3" width="9" hidden="0" customWidth="1"/>
    <x:col min="4" max="4" width="17" hidden="0" customWidth="1"/>
    <x:col min="5" max="5" width="11" hidden="0" customWidth="1"/>
    <x:col min="6" max="6" width="11" hidden="0" customWidth="1"/>
    <x:col min="7" max="7" width="11" hidden="0" customWidth="1"/>
    <x:col min="8" max="8" width="9" hidden="0" customWidth="1"/>
    <x:col min="9" max="9" width="38" hidden="0" customWidth="1"/>
  </x:cols>
  <x:sheetData>
    <x:row r="1">
      <x:c r="A1" s="2"/>
      <x:c r="B1" s="2"/>
      <x:c r="C1" s="2"/>
      <x:c r="D1" s="2"/>
      <x:c r="E1" s="2"/>
      <x:c r="F1" s="2"/>
      <x:c r="G1" s="2"/>
      <x:c r="H1" s="2"/>
      <x:c r="I1" s="2"/>
    </x:row>
    <x:row r="2" ht="25" customHeight="1">
      <x:c r="A2" s="3" t="str">
        <x:v>Physician adjudication v3</x:v>
      </x:c>
      <x:c r="B2" s="2"/>
      <x:c r="C2" s="2"/>
      <x:c r="D2" s="2"/>
      <x:c r="E2" s="2"/>
      <x:c r="F2" s="2"/>
      <x:c r="G2" s="2"/>
      <x:c r="H2" s="2"/>
      <x:c r="I2" s="2"/>
    </x:row>
    <x:row r="3" ht="22" customHeight="1">
      <x:c r="A3" s="2" t="str">
        <x:v>15 September 2026. Fifty synthetic messages. All predictions remain frozen.</x:v>
      </x:c>
      <x:c r="B3" s="2"/>
      <x:c r="C3" s="2"/>
      <x:c r="D3" s="2"/>
      <x:c r="E3" s="2"/>
      <x:c r="F3" s="2"/>
      <x:c r="G3" s="2"/>
      <x:c r="H3" s="2"/>
      <x:c r="I3" s="2"/>
    </x:row>
    <x:row r="4" ht="22" customHeight="1">
      <x:c r="A4" s="2" t="str">
        <x:v>Single physician, unblinded post-output reassessment. Changed agreement reflects reference amendments, not model improvement.</x:v>
      </x:c>
      <x:c r="B4" s="2"/>
      <x:c r="C4" s="2"/>
      <x:c r="D4" s="2"/>
      <x:c r="E4" s="2"/>
      <x:c r="F4" s="2"/>
      <x:c r="G4" s="2"/>
      <x:c r="H4" s="2"/>
      <x:c r="I4" s="2"/>
    </x:row>
    <x:row r="5">
      <x:c r="A5" s="2"/>
      <x:c r="B5" s="2"/>
      <x:c r="C5" s="2"/>
      <x:c r="D5" s="2"/>
      <x:c r="E5" s="2"/>
      <x:c r="F5" s="2"/>
      <x:c r="G5" s="2"/>
      <x:c r="H5" s="2"/>
      <x:c r="I5" s="2"/>
    </x:row>
    <x:row r="6" ht="34" customHeight="1">
      <x:c r="A6" s="7" t="str">
        <x:v>Run</x:v>
      </x:c>
      <x:c r="B6" s="7" t="str">
        <x:v>v2 agree</x:v>
      </x:c>
      <x:c r="C6" s="7" t="str">
        <x:v>v2 n</x:v>
      </x:c>
      <x:c r="D6" s="7" t="str">
        <x:v>v3 common 49 agree</x:v>
      </x:c>
      <x:c r="E6" s="7" t="str">
        <x:v>Common n</x:v>
      </x:c>
      <x:c r="F6" s="7" t="str">
        <x:v>C25 agree</x:v>
      </x:c>
      <x:c r="G6" s="7" t="str">
        <x:v>v3 agree</x:v>
      </x:c>
      <x:c r="H6" s="7" t="str">
        <x:v>v3 n</x:v>
      </x:c>
      <x:c r="I6" s="7" t="str">
        <x:v>Generation taxonomy</x:v>
      </x:c>
    </x:row>
    <x:row r="7" ht="32" customHeight="1">
      <x:c r="A7" s="11" t="str">
        <x:v>Fable 5.1 low</x:v>
      </x:c>
      <x:c r="B7" s="12" t="n">
        <x:f>SUMIFS('Frozen outputs'!$H$8:$H$307,'Frozen outputs'!$A$8:$A$307,$A7)</x:f>
        <x:v>44</x:v>
      </x:c>
      <x:c r="C7" s="12" t="n">
        <x:f>SUMIFS('Frozen outputs'!$G$8:$G$307,'Frozen outputs'!$A$8:$A$307,$A7)</x:f>
        <x:v>49</x:v>
      </x:c>
      <x:c r="D7" s="12" t="n">
        <x:f>SUMIFS('Frozen outputs'!$J$8:$J$307,'Frozen outputs'!$A$8:$A$307,$A7)</x:f>
        <x:v>47</x:v>
      </x:c>
      <x:c r="E7" s="12" t="n">
        <x:f>C7</x:f>
        <x:v>49</x:v>
      </x:c>
      <x:c r="F7" s="12" t="n">
        <x:f>SUMIFS('Frozen outputs'!$I$8:$I$307,'Frozen outputs'!$A$8:$A$307,$A7,'Frozen outputs'!$B$8:$B$307,"C25")</x:f>
        <x:v>1</x:v>
      </x:c>
      <x:c r="G7" s="12" t="n">
        <x:f>SUMIFS('Frozen outputs'!$I$8:$I$307,'Frozen outputs'!$A$8:$A$307,$A7)</x:f>
        <x:v>48</x:v>
      </x:c>
      <x:c r="H7" s="12" t="n">
        <x:f>COUNTIFS('Frozen outputs'!$A$8:$A$307,$A7)</x:f>
        <x:v>50</x:v>
      </x:c>
      <x:c r="I7" s="11" t="str">
        <x:v>Three buckets</x:v>
      </x:c>
    </x:row>
    <x:row r="8" ht="32" customHeight="1">
      <x:c r="A8" s="2" t="str">
        <x:v>Astra extra-high</x:v>
      </x:c>
      <x:c r="B8" s="13" t="n">
        <x:f>SUMIFS('Frozen outputs'!$H$8:$H$307,'Frozen outputs'!$A$8:$A$307,$A8)</x:f>
        <x:v>43</x:v>
      </x:c>
      <x:c r="C8" s="13" t="n">
        <x:f>SUMIFS('Frozen outputs'!$G$8:$G$307,'Frozen outputs'!$A$8:$A$307,$A8)</x:f>
        <x:v>49</x:v>
      </x:c>
      <x:c r="D8" s="13" t="n">
        <x:f>SUMIFS('Frozen outputs'!$J$8:$J$307,'Frozen outputs'!$A$8:$A$307,$A8)</x:f>
        <x:v>46</x:v>
      </x:c>
      <x:c r="E8" s="13" t="n">
        <x:f>C8</x:f>
        <x:v>49</x:v>
      </x:c>
      <x:c r="F8" s="13" t="n">
        <x:f>SUMIFS('Frozen outputs'!$I$8:$I$307,'Frozen outputs'!$A$8:$A$307,$A8,'Frozen outputs'!$B$8:$B$307,"C25")</x:f>
        <x:v>1</x:v>
      </x:c>
      <x:c r="G8" s="13" t="n">
        <x:f>SUMIFS('Frozen outputs'!$I$8:$I$307,'Frozen outputs'!$A$8:$A$307,$A8)</x:f>
        <x:v>47</x:v>
      </x:c>
      <x:c r="H8" s="13" t="n">
        <x:f>COUNTIFS('Frozen outputs'!$A$8:$A$307,$A8)</x:f>
        <x:v>50</x:v>
      </x:c>
      <x:c r="I8" s="2" t="str">
        <x:v>Three buckets</x:v>
      </x:c>
    </x:row>
    <x:row r="9" ht="32" customHeight="1">
      <x:c r="A9" s="2" t="str">
        <x:v>Astra max</x:v>
      </x:c>
      <x:c r="B9" s="13" t="n">
        <x:f>SUMIFS('Frozen outputs'!$H$8:$H$307,'Frozen outputs'!$A$8:$A$307,$A9)</x:f>
        <x:v>43</x:v>
      </x:c>
      <x:c r="C9" s="13" t="n">
        <x:f>SUMIFS('Frozen outputs'!$G$8:$G$307,'Frozen outputs'!$A$8:$A$307,$A9)</x:f>
        <x:v>49</x:v>
      </x:c>
      <x:c r="D9" s="13" t="n">
        <x:f>SUMIFS('Frozen outputs'!$J$8:$J$307,'Frozen outputs'!$A$8:$A$307,$A9)</x:f>
        <x:v>46</x:v>
      </x:c>
      <x:c r="E9" s="13" t="n">
        <x:f>C9</x:f>
        <x:v>49</x:v>
      </x:c>
      <x:c r="F9" s="13" t="n">
        <x:f>SUMIFS('Frozen outputs'!$I$8:$I$307,'Frozen outputs'!$A$8:$A$307,$A9,'Frozen outputs'!$B$8:$B$307,"C25")</x:f>
        <x:v>1</x:v>
      </x:c>
      <x:c r="G9" s="13" t="n">
        <x:f>SUMIFS('Frozen outputs'!$I$8:$I$307,'Frozen outputs'!$A$8:$A$307,$A9)</x:f>
        <x:v>47</x:v>
      </x:c>
      <x:c r="H9" s="13" t="n">
        <x:f>COUNTIFS('Frozen outputs'!$A$8:$A$307,$A9)</x:f>
        <x:v>50</x:v>
      </x:c>
      <x:c r="I9" s="2" t="str">
        <x:v>Three buckets</x:v>
      </x:c>
    </x:row>
    <x:row r="10" ht="32" customHeight="1">
      <x:c r="A10" s="2" t="str">
        <x:v>Opus 5 low</x:v>
      </x:c>
      <x:c r="B10" s="13" t="n">
        <x:f>SUMIFS('Frozen outputs'!$H$8:$H$307,'Frozen outputs'!$A$8:$A$307,$A10)</x:f>
        <x:v>42</x:v>
      </x:c>
      <x:c r="C10" s="13" t="n">
        <x:f>SUMIFS('Frozen outputs'!$G$8:$G$307,'Frozen outputs'!$A$8:$A$307,$A10)</x:f>
        <x:v>49</x:v>
      </x:c>
      <x:c r="D10" s="13" t="n">
        <x:f>SUMIFS('Frozen outputs'!$J$8:$J$307,'Frozen outputs'!$A$8:$A$307,$A10)</x:f>
        <x:v>43</x:v>
      </x:c>
      <x:c r="E10" s="13" t="n">
        <x:f>C10</x:f>
        <x:v>49</x:v>
      </x:c>
      <x:c r="F10" s="13" t="n">
        <x:f>SUMIFS('Frozen outputs'!$I$8:$I$307,'Frozen outputs'!$A$8:$A$307,$A10,'Frozen outputs'!$B$8:$B$307,"C25")</x:f>
        <x:v>1</x:v>
      </x:c>
      <x:c r="G10" s="13" t="n">
        <x:f>SUMIFS('Frozen outputs'!$I$8:$I$307,'Frozen outputs'!$A$8:$A$307,$A10)</x:f>
        <x:v>44</x:v>
      </x:c>
      <x:c r="H10" s="13" t="n">
        <x:f>COUNTIFS('Frozen outputs'!$A$8:$A$307,$A10)</x:f>
        <x:v>50</x:v>
      </x:c>
      <x:c r="I10" s="2" t="str">
        <x:v>Three buckets</x:v>
      </x:c>
    </x:row>
    <x:row r="11" ht="32" customHeight="1">
      <x:c r="A11" s="2" t="str">
        <x:v>Fable 5.1 max</x:v>
      </x:c>
      <x:c r="B11" s="13" t="n">
        <x:f>SUMIFS('Frozen outputs'!$H$8:$H$307,'Frozen outputs'!$A$8:$A$307,$A11)</x:f>
        <x:v>42</x:v>
      </x:c>
      <x:c r="C11" s="13" t="n">
        <x:f>SUMIFS('Frozen outputs'!$G$8:$G$307,'Frozen outputs'!$A$8:$A$307,$A11)</x:f>
        <x:v>49</x:v>
      </x:c>
      <x:c r="D11" s="13" t="n">
        <x:f>SUMIFS('Frozen outputs'!$J$8:$J$307,'Frozen outputs'!$A$8:$A$307,$A11)</x:f>
        <x:v>45</x:v>
      </x:c>
      <x:c r="E11" s="13" t="n">
        <x:f>C11</x:f>
        <x:v>49</x:v>
      </x:c>
      <x:c r="F11" s="13" t="n">
        <x:f>SUMIFS('Frozen outputs'!$I$8:$I$307,'Frozen outputs'!$A$8:$A$307,$A11,'Frozen outputs'!$B$8:$B$307,"C25")</x:f>
        <x:v>1</x:v>
      </x:c>
      <x:c r="G11" s="13" t="n">
        <x:f>SUMIFS('Frozen outputs'!$I$8:$I$307,'Frozen outputs'!$A$8:$A$307,$A11)</x:f>
        <x:v>46</x:v>
      </x:c>
      <x:c r="H11" s="13" t="n">
        <x:f>COUNTIFS('Frozen outputs'!$A$8:$A$307,$A11)</x:f>
        <x:v>50</x:v>
      </x:c>
      <x:c r="I11" s="2" t="str">
        <x:v>Three buckets</x:v>
      </x:c>
    </x:row>
    <x:row r="12" ht="32" customHeight="1">
      <x:c r="A12" s="2" t="str">
        <x:v>Historical Opus, collapsed</x:v>
      </x:c>
      <x:c r="B12" s="13" t="n">
        <x:f>SUMIFS('Frozen outputs'!$H$8:$H$307,'Frozen outputs'!$A$8:$A$307,$A12)</x:f>
        <x:v>46</x:v>
      </x:c>
      <x:c r="C12" s="13" t="n">
        <x:f>SUMIFS('Frozen outputs'!$G$8:$G$307,'Frozen outputs'!$A$8:$A$307,$A12)</x:f>
        <x:v>49</x:v>
      </x:c>
      <x:c r="D12" s="13" t="n">
        <x:f>SUMIFS('Frozen outputs'!$J$8:$J$307,'Frozen outputs'!$A$8:$A$307,$A12)</x:f>
        <x:v>47</x:v>
      </x:c>
      <x:c r="E12" s="13" t="n">
        <x:f>C12</x:f>
        <x:v>49</x:v>
      </x:c>
      <x:c r="F12" s="13" t="n">
        <x:f>SUMIFS('Frozen outputs'!$I$8:$I$307,'Frozen outputs'!$A$8:$A$307,$A12,'Frozen outputs'!$B$8:$B$307,"C25")</x:f>
        <x:v>1</x:v>
      </x:c>
      <x:c r="G12" s="13" t="n">
        <x:f>SUMIFS('Frozen outputs'!$I$8:$I$307,'Frozen outputs'!$A$8:$A$307,$A12)</x:f>
        <x:v>48</x:v>
      </x:c>
      <x:c r="H12" s="13" t="n">
        <x:f>COUNTIFS('Frozen outputs'!$A$8:$A$307,$A12)</x:f>
        <x:v>50</x:v>
      </x:c>
      <x:c r="I12" s="2" t="str">
        <x:v>Five ways, mapped after generation</x:v>
      </x:c>
    </x:row>
    <x:row r="13">
      <x:c r="A13" s="2"/>
      <x:c r="B13" s="2"/>
      <x:c r="C13" s="2"/>
      <x:c r="D13" s="2"/>
      <x:c r="E13" s="2"/>
      <x:c r="F13" s="2"/>
      <x:c r="G13" s="2"/>
      <x:c r="H13" s="2"/>
      <x:c r="I13" s="2"/>
    </x:row>
    <x:row r="14">
      <x:c r="A14" s="2"/>
      <x:c r="B14" s="2"/>
      <x:c r="C14" s="2"/>
      <x:c r="D14" s="2"/>
      <x:c r="E14" s="2"/>
      <x:c r="F14" s="2"/>
      <x:c r="G14" s="2"/>
      <x:c r="H14" s="2"/>
      <x:c r="I14" s="2"/>
    </x:row>
    <x:row r="15" ht="22" customHeight="1">
      <x:c r="A15" s="2" t="str">
        <x:v>Reference changes: C25 now URGENT_ESCALATION. C32, C34 and C38 now SELF_CARE. C22 and C47 remain ASYNC_PHYSICIAN.</x:v>
      </x:c>
      <x:c r="B15" s="2"/>
      <x:c r="C15" s="2"/>
      <x:c r="D15" s="2"/>
      <x:c r="E15" s="2"/>
      <x:c r="F15" s="2"/>
      <x:c r="G15" s="2"/>
      <x:c r="H15" s="2"/>
      <x:c r="I15" s="2"/>
    </x:row>
    <x:row r="16" ht="22" customHeight="1">
      <x:c r="A16" s="2" t="str">
        <x:v>The common-49 column applies v3 labels while retaining the original v2 denominator. C25 then increases the denominator to 50.</x:v>
      </x:c>
      <x:c r="B16" s="2"/>
      <x:c r="C16" s="2"/>
      <x:c r="D16" s="2"/>
      <x:c r="E16" s="2"/>
      <x:c r="F16" s="2"/>
      <x:c r="G16" s="2"/>
      <x:c r="H16" s="2"/>
      <x:c r="I16" s="2"/>
    </x:row>
    <x:row r="17" ht="22" customHeight="1">
      <x:c r="A17" s="2" t="str">
        <x:v>Fable residual misses: C22 and C47. Astra residual misses: C07, C19 and C22. Exact Astra/Fable differences: C07, C19 and C47.</x:v>
      </x:c>
      <x:c r="B17" s="2"/>
      <x:c r="C17" s="2"/>
      <x:c r="D17" s="2"/>
      <x:c r="E17" s="2"/>
      <x:c r="F17" s="2"/>
      <x:c r="G17" s="2"/>
      <x:c r="H17" s="2"/>
      <x:c r="I17" s="2"/>
    </x:row>
    <x:row r="18" ht="22" customHeight="1">
      <x:c r="A18" s="2" t="str">
        <x:v>Clinician-action endpoint: ASYNC_PHYSICIAN or URGENT_ESCALATION is positive. SELF_CARE is negative.</x:v>
      </x:c>
      <x:c r="B18" s="2"/>
      <x:c r="C18" s="2"/>
      <x:c r="D18" s="2"/>
      <x:c r="E18" s="2"/>
      <x:c r="F18" s="2"/>
      <x:c r="G18" s="2"/>
      <x:c r="H18" s="2"/>
      <x:c r="I18" s="2"/>
    </x:row>
    <x:row r="19" ht="22" customHeight="1">
      <x:c r="A19" s="2" t="str">
        <x:v>TP = clinician action correctly selected. TN = self-care correctly selected. FP = unnecessary clinician action. FN = missed clinician action.</x:v>
      </x:c>
      <x:c r="B19" s="2"/>
      <x:c r="C19" s="2"/>
      <x:c r="D19" s="2"/>
      <x:c r="E19" s="2"/>
      <x:c r="F19" s="2"/>
      <x:c r="G19" s="2"/>
      <x:c r="H19" s="2"/>
      <x:c r="I19" s="2"/>
    </x:row>
    <x:row r="20" ht="22" customHeight="1">
      <x:c r="A20" s="2" t="str">
        <x:v>C32, C34 and C38 were prior-reference false positives. Fable is a true negative under the amended reference.</x:v>
      </x:c>
      <x:c r="B20" s="2"/>
      <x:c r="C20" s="2"/>
      <x:c r="D20" s="2"/>
      <x:c r="E20" s="2"/>
      <x:c r="F20" s="2"/>
      <x:c r="G20" s="2"/>
      <x:c r="H20" s="2"/>
      <x:c r="I20" s="2"/>
    </x:row>
    <x:row r="21" ht="22" customHeight="1">
      <x:c r="A21" s="2" t="str">
        <x:v>TP does not prove the correct urgency. An async prediction against an urgent target is an exact-route miss even when both are positive.</x:v>
      </x:c>
      <x:c r="B21" s="2"/>
      <x:c r="C21" s="2"/>
      <x:c r="D21" s="2"/>
      <x:c r="E21" s="2"/>
      <x:c r="F21" s="2"/>
      <x:c r="G21" s="2"/>
      <x:c r="H21" s="2"/>
      <x:c r="I21" s="2"/>
    </x:row>
    <x:row r="22" ht="22" customHeight="1">
      <x:c r="A22" s="2" t="str">
        <x:v>Disposition agreement does not grade watchful-waiting instructions, medication recommendations or pregnancy precautions.</x:v>
      </x:c>
      <x:c r="B22" s="2"/>
      <x:c r="C22" s="2"/>
      <x:c r="D22" s="2"/>
      <x:c r="E22" s="2"/>
      <x:c r="F22" s="2"/>
      <x:c r="G22" s="2"/>
      <x:c r="H22" s="2"/>
      <x:c r="I22" s="2"/>
    </x:row>
    <x:row r="23" ht="22" customHeight="1">
      <x:c r="A23" s="2" t="str">
        <x:v>Historical five-way Opus uses a different prompt. Its mapped score is contextual evidence, not a matched three-bucket experiment.</x:v>
      </x:c>
      <x:c r="B23" s="2"/>
      <x:c r="C23" s="2"/>
      <x:c r="D23" s="2"/>
      <x:c r="E23" s="2"/>
      <x:c r="F23" s="2"/>
      <x:c r="G23" s="2"/>
      <x:c r="H23" s="2"/>
      <x:c r="I23" s="2"/>
    </x:row>
    <x:row r="24" ht="22" customHeight="1">
      <x:c r="A24" s="2" t="str">
        <x:v>No new inference, independent consensus or held-out validation. Original CSV agreement is outside this workbook.</x:v>
      </x:c>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8" hidden="0" customWidth="1"/>
    <x:col min="2" max="2" width="55" hidden="0" customWidth="1"/>
    <x:col min="3" max="3" width="24" hidden="0" customWidth="1"/>
    <x:col min="4" max="4" width="25" hidden="0" customWidth="1"/>
    <x:col min="5" max="5" width="25" hidden="0" customWidth="1"/>
    <x:col min="6" max="6" width="17" hidden="0" customWidth="1"/>
    <x:col min="7" max="7" width="69" hidden="0" customWidth="1"/>
    <x:col min="8" max="8" width="57" hidden="0" customWidth="1"/>
  </x:cols>
  <x:sheetData>
    <x:row r="1">
      <x:c r="A1" s="2"/>
      <x:c r="B1" s="2"/>
      <x:c r="C1" s="2"/>
      <x:c r="D1" s="2"/>
      <x:c r="E1" s="2"/>
      <x:c r="F1" s="2"/>
      <x:c r="G1" s="2"/>
      <x:c r="H1" s="2"/>
    </x:row>
    <x:row r="2" ht="25" customHeight="1">
      <x:c r="A2" s="3" t="str">
        <x:v>Six physician-reviewed cases</x:v>
      </x:c>
      <x:c r="B2" s="2"/>
      <x:c r="C2" s="2"/>
      <x:c r="D2" s="2"/>
      <x:c r="E2" s="2"/>
      <x:c r="F2" s="2"/>
      <x:c r="G2" s="2"/>
      <x:c r="H2" s="2"/>
    </x:row>
    <x:row r="3">
      <x:c r="A3" s="2"/>
      <x:c r="B3" s="2"/>
      <x:c r="C3" s="2"/>
      <x:c r="D3" s="2"/>
      <x:c r="E3" s="2"/>
      <x:c r="F3" s="2"/>
      <x:c r="G3" s="2"/>
      <x:c r="H3" s="2"/>
    </x:row>
    <x:row r="4" ht="22" customHeight="1">
      <x:c r="A4" s="2" t="str">
        <x:v>Amendments assess the care setting. Qualifying clinical questions remain separate from disposition agreement.</x:v>
      </x:c>
      <x:c r="B4" s="2"/>
      <x:c r="C4" s="2"/>
      <x:c r="D4" s="2"/>
      <x:c r="E4" s="2"/>
      <x:c r="F4" s="2"/>
      <x:c r="G4" s="2"/>
      <x:c r="H4" s="2"/>
    </x:row>
    <x:row r="5" ht="22" customHeight="1">
      <x:c r="A5" s="2" t="str">
        <x:v>Source: physician-adjudication-v3-2026-09-15.json. User physician review on 15 September 2026, after model outputs.</x:v>
      </x:c>
      <x:c r="B5" s="2"/>
      <x:c r="C5" s="2"/>
      <x:c r="D5" s="2"/>
      <x:c r="E5" s="2"/>
      <x:c r="F5" s="2"/>
      <x:c r="G5" s="2"/>
      <x:c r="H5" s="2"/>
    </x:row>
    <x:row r="6">
      <x:c r="A6" s="2"/>
      <x:c r="B6" s="2"/>
      <x:c r="C6" s="2"/>
      <x:c r="D6" s="2"/>
      <x:c r="E6" s="2"/>
      <x:c r="F6" s="2"/>
      <x:c r="G6" s="2"/>
      <x:c r="H6" s="2"/>
    </x:row>
    <x:row r="7" ht="34" customHeight="1">
      <x:c r="A7" s="7" t="str">
        <x:v>Case</x:v>
      </x:c>
      <x:c r="B7" s="7" t="str">
        <x:v>Exact message</x:v>
      </x:c>
      <x:c r="C7" s="7" t="str">
        <x:v>v2 target</x:v>
      </x:c>
      <x:c r="D7" s="7" t="str">
        <x:v>v3 target</x:v>
      </x:c>
      <x:c r="E7" s="7" t="str">
        <x:v>Fable disposition</x:v>
      </x:c>
      <x:c r="F7" s="7" t="str">
        <x:v>Fable clinician action</x:v>
      </x:c>
      <x:c r="G7" s="7" t="str">
        <x:v>Physician adjudication</x:v>
      </x:c>
      <x:c r="H7" s="7" t="str">
        <x:v>Unresolved rationale review</x:v>
      </x:c>
    </x:row>
    <x:row r="8" ht="80" customHeight="1">
      <x:c r="A8" s="9" t="str">
        <x:v>C22</x:v>
      </x:c>
      <x:c r="B8" s="9" t="str">
        <x:v>24M. I rolled my ankle playing basketball last night. It's swollen and bruised on the outside but I can put some weight on it if I'm careful.</x:v>
      </x:c>
      <x:c r="C8" s="9" t="str">
        <x:v>ASYNC_PHYSICIAN</x:v>
      </x:c>
      <x:c r="D8" s="9" t="str">
        <x:v>ASYNC_PHYSICIAN</x:v>
      </x:c>
      <x:c r="E8" s="9" t="str">
        <x:v>SELF_CARE</x:v>
      </x:c>
      <x:c r="F8" s="9" t="str">
        <x:v>FN</x:v>
      </x:c>
      <x:c r="G8" s="9" t="str">
        <x:v>The physician retains clinician review. Some weight-bearing does not establish a negative Ottawa ankle assessment; rule eligibility and required criteria are not established by the message. This is not an asserted positive Ottawa result or a confirmed fracture.</x:v>
      </x:c>
      <x:c r="H8" s="9" t="str">
        <x:v>Ottawa ankle assessment eligibility and required criteria are not established. Whether an examination or imaging is required remains unresolved.</x:v>
      </x:c>
    </x:row>
    <x:row r="9" ht="80" customHeight="1">
      <x:c r="A9" s="9" t="str">
        <x:v>C25</x:v>
      </x:c>
      <x:c r="B9" s="9" t="str">
        <x:v>42F. I flew back from Europe two days ago and now my left calf is painful, swollen, and warm compared to the other one.</x:v>
      </x:c>
      <x:c r="C9" s="9" t="str">
        <x:v>UNRESOLVED</x:v>
      </x:c>
      <x:c r="D9" s="9" t="str">
        <x:v>URGENT_ESCALATION</x:v>
      </x:c>
      <x:c r="E9" s="9" t="str">
        <x:v>URGENT_ESCALATION</x:v>
      </x:c>
      <x:c r="F9" s="9" t="str">
        <x:v>TP</x:v>
      </x:c>
      <x:c r="G9" s="9" t="str">
        <x:v>The physician explicitly accepts URGENT_ESCALATION at the three-bucket level. No same-day versus emergency subdivision was supplied.</x:v>
      </x:c>
      <x:c r="H9" s="9" t="str">
        <x:v>No five-way accepted route is assigned by this amendment.</x:v>
      </x:c>
    </x:row>
    <x:row r="10" ht="80" customHeight="1">
      <x:c r="A10" s="9" t="str">
        <x:v>C32</x:v>
      </x:c>
      <x:c r="B10" s="9" t="str">
        <x:v>My 8-year-old says her right ear has hurt since last night. No fever, she ate breakfast fine and went to school.</x:v>
      </x:c>
      <x:c r="C10" s="9" t="str">
        <x:v>ASYNC_PHYSICIAN</x:v>
      </x:c>
      <x:c r="D10" s="9" t="str">
        <x:v>SELF_CARE</x:v>
      </x:c>
      <x:c r="E10" s="9" t="str">
        <x:v>SELF_CARE</x:v>
      </x:c>
      <x:c r="F10" s="9" t="str">
        <x:v>TN</x:v>
      </x:c>
      <x:c r="G10" s="9" t="str">
        <x:v>The physician corrects the prior ASYNC_PHYSICIAN reference to SELF_CARE with watchful waiting. This label does not independently establish that every model rationale supplies adequate observation, follow-up, and escalation conditions.</x:v>
      </x:c>
      <x:c r="H10" s="9" t="str">
        <x:v>Watchful-waiting conditions require separate rationale-quality review.</x:v>
      </x:c>
    </x:row>
    <x:row r="11" ht="80" customHeight="1">
      <x:c r="A11" s="9" t="str">
        <x:v>C34</x:v>
      </x:c>
      <x:c r="B11" s="9" t="str">
        <x:v>27F. My seasonal allergies are back — sneezing, itchy eyes, stuffy nose. What over the counter option do you recommend?</x:v>
      </x:c>
      <x:c r="C11" s="9" t="str">
        <x:v>ASYNC_PHYSICIAN</x:v>
      </x:c>
      <x:c r="D11" s="9" t="str">
        <x:v>SELF_CARE</x:v>
      </x:c>
      <x:c r="E11" s="9" t="str">
        <x:v>SELF_CARE</x:v>
      </x:c>
      <x:c r="F11" s="9" t="str">
        <x:v>TN</x:v>
      </x:c>
      <x:c r="G11" s="9" t="str">
        <x:v>The physician corrects the prior ASYNC_PHYSICIAN reference to SELF_CARE. The correction assesses disposition, not the accuracy or completeness of a medication recommendation.</x:v>
      </x:c>
      <x:c r="H11" s="9" t="str">
        <x:v>Medication guidance is outside this disposition-only score.</x:v>
      </x:c>
    </x:row>
    <x:row r="12" ht="80" customHeight="1">
      <x:c r="A12" s="9" t="str">
        <x:v>C38</x:v>
      </x:c>
      <x:c r="B12" s="9" t="str">
        <x:v>22F. Following up on my ankle sprain from last week — it's improving. Just wondering how much ibuprofen I can safely take and for how long.</x:v>
      </x:c>
      <x:c r="C12" s="9" t="str">
        <x:v>ASYNC_PHYSICIAN</x:v>
      </x:c>
      <x:c r="D12" s="9" t="str">
        <x:v>SELF_CARE</x:v>
      </x:c>
      <x:c r="E12" s="9" t="str">
        <x:v>SELF_CARE</x:v>
      </x:c>
      <x:c r="F12" s="9" t="str">
        <x:v>TN</x:v>
      </x:c>
      <x:c r="G12" s="9" t="str">
        <x:v>The physician corrects the prior ASYNC_PHYSICIAN reference to SELF_CARE and requires pregnancy precautions in any medication guidance. Disposition agreement does not establish that the frozen rationale meets that requirement.</x:v>
      </x:c>
      <x:c r="H12" s="9" t="str">
        <x:v>Pregnancy precautions and other medication precautions require separate rationale-quality review.</x:v>
      </x:c>
    </x:row>
    <x:row r="13" ht="80" customHeight="1">
      <x:c r="A13" s="9" t="str">
        <x:v>C47</x:v>
      </x:c>
      <x:c r="B13" s="9" t="str">
        <x:v>45F. I've had trouble falling asleep for the last month or so. Work has been stressful. I'm functioning but tired all day.</x:v>
      </x:c>
      <x:c r="C13" s="9" t="str">
        <x:v>ASYNC_PHYSICIAN</x:v>
      </x:c>
      <x:c r="D13" s="9" t="str">
        <x:v>ASYNC_PHYSICIAN</x:v>
      </x:c>
      <x:c r="E13" s="9" t="str">
        <x:v>SELF_CARE</x:v>
      </x:c>
      <x:c r="F13" s="9" t="str">
        <x:v>FN</x:v>
      </x:c>
      <x:c r="G13" s="9" t="str">
        <x:v>The physician retains ASYNC_PHYSICIAN. Fable SELF_CARE is a false negative for clinician action, rather than an emergency-escalation miss.</x:v>
      </x:c>
      <x:c r="H13" s="9" t="str">
        <x:v>No additional issue specified in this amendment.</x:v>
      </x:c>
    </x:row>
    <x:row r="14">
      <x:c r="A14" s="2"/>
      <x:c r="B14" s="2"/>
      <x:c r="C14" s="2"/>
      <x:c r="D14" s="2"/>
      <x:c r="E14" s="2"/>
      <x:c r="F14" s="2"/>
      <x:c r="G14" s="2"/>
      <x:c r="H14" s="2"/>
    </x:row>
  </x:sheetData>
  <x:conditionalFormatting sqref="F8:F13">
    <x:cfRule type="containsText" dxfId="1" priority="1" operator="containsText" text="FN"/>
  </x:conditionalFormatting>
  <x:pageMargins left="0.7" right="0.7" top="0.75" bottom="0.75" header="0.3" footer="0.3"/>
  <x:tableParts count="1">
    <x:tablePart xmlns:r="http://schemas.openxmlformats.org/officeDocument/2006/relationships" r:id="R409dc74aebe64d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55" hidden="0" customWidth="1"/>
    <x:col min="3" max="3" width="25" hidden="0" customWidth="1"/>
    <x:col min="4" max="4" width="25" hidden="0" customWidth="1"/>
    <x:col min="5" max="5" width="68" hidden="0" customWidth="1"/>
    <x:col min="6" max="6" width="27" hidden="0" customWidth="1"/>
    <x:col min="7" max="7" width="68" hidden="0" customWidth="1"/>
    <x:col min="8" max="8" width="68" hidden="0" customWidth="1"/>
  </x:cols>
  <x:sheetData>
    <x:row r="1">
      <x:c r="A1" s="2"/>
      <x:c r="B1" s="2"/>
      <x:c r="C1" s="2"/>
      <x:c r="D1" s="2"/>
      <x:c r="E1" s="2"/>
      <x:c r="F1" s="2"/>
      <x:c r="G1" s="2"/>
      <x:c r="H1" s="2"/>
    </x:row>
    <x:row r="2" ht="25" customHeight="1">
      <x:c r="A2" s="3" t="str">
        <x:v>Exact Astra and Fable differences</x:v>
      </x:c>
      <x:c r="B2" s="2"/>
      <x:c r="C2" s="2"/>
      <x:c r="D2" s="2"/>
      <x:c r="E2" s="2"/>
      <x:c r="F2" s="2"/>
      <x:c r="G2" s="2"/>
      <x:c r="H2" s="2"/>
    </x:row>
    <x:row r="3">
      <x:c r="A3" s="2"/>
      <x:c r="B3" s="2"/>
      <x:c r="C3" s="2"/>
      <x:c r="D3" s="2"/>
      <x:c r="E3" s="2"/>
      <x:c r="F3" s="2"/>
      <x:c r="G3" s="2"/>
      <x:c r="H3" s="2"/>
    </x:row>
    <x:row r="4" ht="22" customHeight="1">
      <x:c r="A4" s="2" t="str">
        <x:v>Astra extra-high and max select identical dispositions on all 50 messages. Both differ from Fable on these three cases.</x:v>
      </x:c>
      <x:c r="B4" s="2"/>
      <x:c r="C4" s="2"/>
      <x:c r="D4" s="2"/>
      <x:c r="E4" s="2"/>
      <x:c r="F4" s="2"/>
      <x:c r="G4" s="2"/>
      <x:c r="H4" s="2"/>
    </x:row>
    <x:row r="5" ht="22" customHeight="1">
      <x:c r="A5" s="2" t="str">
        <x:v>Frozen rationales are reproduced exactly. The physician v3 target is ASYNC_PHYSICIAN for all three.</x:v>
      </x:c>
      <x:c r="B5" s="2"/>
      <x:c r="C5" s="2"/>
      <x:c r="D5" s="2"/>
      <x:c r="E5" s="2"/>
      <x:c r="F5" s="2"/>
      <x:c r="G5" s="2"/>
      <x:c r="H5" s="2"/>
    </x:row>
    <x:row r="6">
      <x:c r="A6" s="2"/>
      <x:c r="B6" s="2"/>
      <x:c r="C6" s="2"/>
      <x:c r="D6" s="2"/>
      <x:c r="E6" s="2"/>
      <x:c r="F6" s="2"/>
      <x:c r="G6" s="2"/>
      <x:c r="H6" s="2"/>
    </x:row>
    <x:row r="7" ht="34" customHeight="1">
      <x:c r="A7" s="7" t="str">
        <x:v>Case</x:v>
      </x:c>
      <x:c r="B7" s="7" t="str">
        <x:v>Exact message</x:v>
      </x:c>
      <x:c r="C7" s="7" t="str">
        <x:v>Physician v3 target</x:v>
      </x:c>
      <x:c r="D7" s="7" t="str">
        <x:v>Fable disposition</x:v>
      </x:c>
      <x:c r="E7" s="7" t="str">
        <x:v>Exact Fable rationale</x:v>
      </x:c>
      <x:c r="F7" s="7" t="str">
        <x:v>Both Astra dispositions</x:v>
      </x:c>
      <x:c r="G7" s="7" t="str">
        <x:v>Exact Astra extra-high rationale</x:v>
      </x:c>
      <x:c r="H7" s="7" t="str">
        <x:v>Exact Astra max rationale</x:v>
      </x:c>
    </x:row>
    <x:row r="8" ht="88" customHeight="1">
      <x:c r="A8" s="9" t="str">
        <x:v>C07</x:v>
      </x:c>
      <x:c r="B8" s="9" t="str">
        <x:v>My 3-year-old has had a fever up to 102F for 2 days. He's still drinking okay and pretty playful in between the fevers. No rash that I can see.</x:v>
      </x:c>
      <x:c r="C8" s="9" t="str">
        <x:v>ASYNC_PHYSICIAN</x:v>
      </x:c>
      <x:c r="D8" s="9" t="str">
        <x:v>ASYNC_PHYSICIAN</x:v>
      </x:c>
      <x:c r="E8" s="9" t="str">
        <x:v>Toddler with 2-day fever to 102F but well-hydrated, playful, and without rash or red-flag symptoms; not an emergency, but persistent fever in a young child warrants clinician review and guidance rather than self-care alone.</x:v>
      </x:c>
      <x:c r="F8" s="9" t="str">
        <x:v>SELF_CARE</x:v>
      </x:c>
      <x:c r="G8" s="9" t="str">
        <x:v>A 2-day fever up to 102°F with adequate drinking and playful behavior between fevers, without reported red flags, supports home care and monitoring.</x:v>
      </x:c>
      <x:c r="H8" s="9" t="str">
        <x:v>A 2-day fever in a 3-year-old who is drinking well and playful between episodes, without reported red flags, supports home care and monitoring.</x:v>
      </x:c>
    </x:row>
    <x:row r="9" ht="88" customHeight="1">
      <x:c r="A9" s="9" t="str">
        <x:v>C19</x:v>
      </x:c>
      <x:c r="B9" s="9" t="str">
        <x:v>I've been dizzy on and off for a few days. The room spins when I roll over or turn my head in bed, but it settles. No chest pain, no weakness, no headache.</x:v>
      </x:c>
      <x:c r="C9" s="9" t="str">
        <x:v>ASYNC_PHYSICIAN</x:v>
      </x:c>
      <x:c r="D9" s="9" t="str">
        <x:v>ASYNC_PHYSICIAN</x:v>
      </x:c>
      <x:c r="E9" s="9" t="str">
        <x:v>Positional vertigo pattern consistent with BPPV without red flags (no chest pain, weakness, headache, or neuro symptoms); non-urgent but warrants clinician evaluation for diagnosis and treatment guidance.</x:v>
      </x:c>
      <x:c r="F9" s="9" t="str">
        <x:v>SELF_CARE</x:v>
      </x:c>
      <x:c r="G9" s="9" t="str">
        <x:v>Position-triggered spinning that settles suggests benign positional vertigo, with no reported emergency red flags.</x:v>
      </x:c>
      <x:c r="H9" s="9" t="str">
        <x:v>Position-triggered spinning that settles suggests benign positional vertigo, with no reported emergency warning signs.</x:v>
      </x:c>
    </x:row>
    <x:row r="10" ht="88" customHeight="1">
      <x:c r="A10" s="9" t="str">
        <x:v>C47</x:v>
      </x:c>
      <x:c r="B10" s="9" t="str">
        <x:v>45F. I've had trouble falling asleep for the last month or so. Work has been stressful. I'm functioning but tired all day.</x:v>
      </x:c>
      <x:c r="C10" s="9" t="str">
        <x:v>ASYNC_PHYSICIAN</x:v>
      </x:c>
      <x:c r="D10" s="9" t="str">
        <x:v>SELF_CARE</x:v>
      </x:c>
      <x:c r="E10" s="9" t="str">
        <x:v>Subacute stress-related insomnia in a functioning adult with no red flags (no mood/suicidality concerns, no daytime impairment beyond fatigue). Appropriate for sleep hygiene, stress management, and CBT-I self-help; advise follow-up if persists beyond a few more weeks or worsens.</x:v>
      </x:c>
      <x:c r="F10" s="9" t="str">
        <x:v>ASYNC_PHYSICIAN</x:v>
      </x:c>
      <x:c r="G10" s="9" t="str">
        <x:v>Sleep difficulty lasting a month with daytime fatigue warrants nonurgent clinician review; no urgent red flags are reported.</x:v>
      </x:c>
      <x:c r="H10" s="9" t="str">
        <x:v>Sleep difficulty lasting a month with daytime fatigue warrants nonurgent clinician assessment; no urgent red flags reported.</x:v>
      </x:c>
    </x:row>
    <x:row r="11">
      <x:c r="A11" s="2"/>
      <x:c r="B11" s="2"/>
      <x:c r="C11" s="2"/>
      <x:c r="D11" s="2"/>
      <x:c r="E11" s="2"/>
      <x:c r="F11" s="2"/>
      <x:c r="G11" s="2"/>
      <x:c r="H11" s="2"/>
    </x:row>
    <x:row r="12" ht="22" customHeight="1">
      <x:c r="A12" s="2" t="str">
        <x:v>C07 and C19: Fable agrees with v3. C47: both Astra arms agree with v3. These are known development cases.</x:v>
      </x:c>
      <x:c r="B12" s="2"/>
      <x:c r="C12" s="2"/>
      <x:c r="D12" s="2"/>
      <x:c r="E12" s="2"/>
      <x:c r="F12" s="2"/>
      <x:c r="G12" s="2"/>
      <x:c r="H12" s="2"/>
    </x:row>
  </x:sheetData>
  <x:pageMargins left="0.7" right="0.7" top="0.75" bottom="0.75" header="0.3" footer="0.3"/>
  <x:tableParts count="1">
    <x:tablePart xmlns:r="http://schemas.openxmlformats.org/officeDocument/2006/relationships" r:id="Rb99e2424b6304d8b"/>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9" hidden="0" customWidth="1"/>
    <x:col min="2" max="2" width="8" hidden="0" customWidth="1"/>
    <x:col min="3" max="3" width="28" hidden="0" customWidth="1"/>
    <x:col min="4" max="4" width="28" hidden="0" customWidth="1"/>
    <x:col min="5" max="5" width="28" hidden="0" customWidth="1"/>
    <x:col min="6" max="6" width="28" hidden="0" customWidth="1"/>
    <x:col min="7" max="7" width="11" hidden="0" customWidth="1"/>
    <x:col min="8" max="8" width="12" hidden="0" customWidth="1"/>
    <x:col min="9" max="9" width="12" hidden="0" customWidth="1"/>
    <x:col min="10" max="10" width="12" hidden="0" customWidth="1"/>
    <x:col min="11" max="11" width="14" hidden="0" customWidth="1"/>
    <x:col min="12" max="12" width="79" hidden="0" customWidth="1"/>
    <x:col min="13" max="13" width="95" hidden="0" customWidth="1"/>
  </x:cols>
  <x:sheetData>
    <x:row r="1">
      <x:c r="A1" s="2"/>
      <x:c r="B1" s="2"/>
      <x:c r="C1" s="2"/>
      <x:c r="D1" s="2"/>
      <x:c r="E1" s="2"/>
      <x:c r="F1" s="2"/>
      <x:c r="G1" s="2"/>
      <x:c r="H1" s="2"/>
      <x:c r="I1" s="2"/>
      <x:c r="J1" s="2"/>
      <x:c r="K1" s="2"/>
      <x:c r="L1" s="2"/>
      <x:c r="M1" s="2"/>
    </x:row>
    <x:row r="2" ht="25" customHeight="1">
      <x:c r="A2" s="3" t="str">
        <x:v>Frozen outputs and separate reference scores</x:v>
      </x:c>
      <x:c r="B2" s="2"/>
      <x:c r="C2" s="2"/>
      <x:c r="D2" s="2"/>
      <x:c r="E2" s="2"/>
      <x:c r="F2" s="2"/>
      <x:c r="G2" s="2"/>
      <x:c r="H2" s="2"/>
      <x:c r="I2" s="2"/>
      <x:c r="J2" s="2"/>
      <x:c r="K2" s="2"/>
      <x:c r="L2" s="2"/>
      <x:c r="M2" s="2"/>
    </x:row>
    <x:row r="3">
      <x:c r="A3" s="2"/>
      <x:c r="B3" s="2"/>
      <x:c r="C3" s="2"/>
      <x:c r="D3" s="2"/>
      <x:c r="E3" s="2"/>
      <x:c r="F3" s="2"/>
      <x:c r="G3" s="2"/>
      <x:c r="H3" s="2"/>
      <x:c r="I3" s="2"/>
      <x:c r="J3" s="2"/>
      <x:c r="K3" s="2"/>
      <x:c r="L3" s="2"/>
      <x:c r="M3" s="2"/>
    </x:row>
    <x:row r="4" ht="22" customHeight="1">
      <x:c r="A4" s="2" t="str">
        <x:v>Each row is one saved model response. The source file identifies the unmodified output. The reference is joined by case ID.</x:v>
      </x:c>
      <x:c r="B4" s="2"/>
      <x:c r="C4" s="2"/>
      <x:c r="D4" s="2"/>
      <x:c r="E4" s="2"/>
      <x:c r="F4" s="2"/>
      <x:c r="G4" s="2"/>
      <x:c r="H4" s="2"/>
      <x:c r="I4" s="2"/>
      <x:c r="J4" s="2"/>
      <x:c r="K4" s="2"/>
      <x:c r="L4" s="2"/>
      <x:c r="M4" s="2"/>
    </x:row>
    <x:row r="5" ht="22" customHeight="1">
      <x:c r="A5" s="2" t="str">
        <x:v>Exact agreement: 1 = agree; 0 = disagree. Clinician action: TP/TN/FP/FN, defined on Summary. C25 is unscored under v2.</x:v>
      </x:c>
      <x:c r="B5" s="2"/>
      <x:c r="C5" s="2"/>
      <x:c r="D5" s="2"/>
      <x:c r="E5" s="2"/>
      <x:c r="F5" s="2"/>
      <x:c r="G5" s="2"/>
      <x:c r="H5" s="2"/>
      <x:c r="I5" s="2"/>
      <x:c r="J5" s="2"/>
      <x:c r="K5" s="2"/>
      <x:c r="L5" s="2"/>
      <x:c r="M5" s="2"/>
    </x:row>
    <x:row r="6">
      <x:c r="A6" s="2"/>
      <x:c r="B6" s="2"/>
      <x:c r="C6" s="2"/>
      <x:c r="D6" s="2"/>
      <x:c r="E6" s="2"/>
      <x:c r="F6" s="2"/>
      <x:c r="G6" s="2"/>
      <x:c r="H6" s="2"/>
      <x:c r="I6" s="2"/>
      <x:c r="J6" s="2"/>
      <x:c r="K6" s="2"/>
      <x:c r="L6" s="2"/>
      <x:c r="M6" s="2"/>
    </x:row>
    <x:row r="7" ht="34" customHeight="1">
      <x:c r="A7" s="7" t="str">
        <x:v>Run</x:v>
      </x:c>
      <x:c r="B7" s="7" t="str">
        <x:v>Case</x:v>
      </x:c>
      <x:c r="C7" s="7" t="str">
        <x:v>Original disposition</x:v>
      </x:c>
      <x:c r="D7" s="7" t="str">
        <x:v>Three-bucket disposition</x:v>
      </x:c>
      <x:c r="E7" s="7" t="str">
        <x:v>v2 target</x:v>
      </x:c>
      <x:c r="F7" s="7" t="str">
        <x:v>v3 target</x:v>
      </x:c>
      <x:c r="G7" s="7" t="str">
        <x:v>v2 included</x:v>
      </x:c>
      <x:c r="H7" s="7" t="str">
        <x:v>v2 agreement</x:v>
      </x:c>
      <x:c r="I7" s="7" t="str">
        <x:v>v3 agreement</x:v>
      </x:c>
      <x:c r="J7" s="7" t="str">
        <x:v>v3 common 49</x:v>
      </x:c>
      <x:c r="K7" s="7" t="str">
        <x:v>Clinician action</x:v>
      </x:c>
      <x:c r="L7" s="7" t="str">
        <x:v>Exact frozen rationale</x:v>
      </x:c>
      <x:c r="M7" s="7" t="str">
        <x:v>Source file</x:v>
      </x:c>
    </x:row>
    <x:row r="8" ht="44" customHeight="1">
      <x:c r="A8" s="9" t="str">
        <x:v>Fable 5.1 low</x:v>
      </x:c>
      <x:c r="B8" s="9" t="str">
        <x:v>C01</x:v>
      </x:c>
      <x:c r="C8" s="9" t="str">
        <x:v>SELF_CARE</x:v>
      </x:c>
      <x:c r="D8" s="9" t="str">
        <x:v>SELF_CARE</x:v>
      </x:c>
      <x:c r="E8" s="9" t="str">
        <x:f>VLOOKUP(B8,Reference!$A$8:$F$57,4,FALSE)</x:f>
        <x:v>SELF_CARE</x:v>
      </x:c>
      <x:c r="F8" s="9" t="str">
        <x:f>VLOOKUP(B8,Reference!$A$8:$F$57,5,FALSE)</x:f>
        <x:v>SELF_CARE</x:v>
      </x:c>
      <x:c r="G8" s="10" t="n">
        <x:f>IF(E8="UNRESOLVED",0,1)</x:f>
        <x:v>1</x:v>
      </x:c>
      <x:c r="H8" s="10" t="n">
        <x:f>IF(G8=0,"unscored",IF(D8=E8,1,0))</x:f>
        <x:v>1</x:v>
      </x:c>
      <x:c r="I8" s="10" t="n">
        <x:f>IF(D8=F8,1,0)</x:f>
        <x:v>1</x:v>
      </x:c>
      <x:c r="J8" s="10" t="n">
        <x:f>IF(G8=0,"excluded",I8)</x:f>
        <x:v>1</x:v>
      </x:c>
      <x:c r="K8" s="10" t="str">
        <x:f>IF(F8="SELF_CARE",IF(D8="SELF_CARE","TN","FP"),IF(D8="SELF_CARE","FN","TP"))</x:f>
        <x:v>TN</x:v>
      </x:c>
      <x:c r="L8" s="9" t="str">
        <x:v>Mild upper respiratory symptoms for 2 days with no fever and normal intake; no red flags. Rest, fluids, OTC symptom relief; seek care if fever, breathing difficulty, or symptoms worsen/persist beyond ~10 days.</x:v>
      </x:c>
      <x:c r="M8" s="9" t="str">
        <x:v>outputs/stripped-3bucket-fable-2026-09-15/C01-parsed.json</x:v>
      </x:c>
    </x:row>
    <x:row r="9" ht="44" customHeight="1">
      <x:c r="A9" s="9" t="str">
        <x:v>Fable 5.1 low</x:v>
      </x:c>
      <x:c r="B9" s="9" t="str">
        <x:v>C02</x:v>
      </x:c>
      <x:c r="C9" s="9" t="str">
        <x:v>URGENT_ESCALATION</x:v>
      </x:c>
      <x:c r="D9" s="9" t="str">
        <x:v>URGENT_ESCALATION</x:v>
      </x:c>
      <x:c r="E9" s="9" t="str">
        <x:f>VLOOKUP(B9,Reference!$A$8:$F$57,4,FALSE)</x:f>
        <x:v>URGENT_ESCALATION</x:v>
      </x:c>
      <x:c r="F9" s="9" t="str">
        <x:f>VLOOKUP(B9,Reference!$A$8:$F$57,5,FALSE)</x:f>
        <x:v>URGENT_ESCALATION</x:v>
      </x:c>
      <x:c r="G9" s="10" t="n">
        <x:f>IF(E9="UNRESOLVED",0,1)</x:f>
        <x:v>1</x:v>
      </x:c>
      <x:c r="H9" s="10" t="n">
        <x:f>IF(G9=0,"unscored",IF(D9=E9,1,0))</x:f>
        <x:v>1</x:v>
      </x:c>
      <x:c r="I9" s="10" t="n">
        <x:f>IF(D9=F9,1,0)</x:f>
        <x:v>1</x:v>
      </x:c>
      <x:c r="J9" s="10" t="n">
        <x:f>IF(G9=0,"excluded",I9)</x:f>
        <x:v>1</x:v>
      </x:c>
      <x:c r="K9" s="10" t="str">
        <x:f>IF(F9="SELF_CARE",IF(D9="SELF_CARE","TN","FP"),IF(D9="SELF_CARE","FN","TP"))</x:f>
        <x:v>TP</x:v>
      </x:c>
      <x:c r="L9" s="9" t="str">
        <x:v>Classic acute coronary syndrome presentation: crushing central chest pressure &gt;30 min radiating to left arm with diaphoresis and nausea in a 45M with hyperlipidemia. Requires emergency services (911) immediately.</x:v>
      </x:c>
      <x:c r="M9" s="9" t="str">
        <x:v>outputs/stripped-3bucket-fable-2026-09-15/C02-parsed.json</x:v>
      </x:c>
    </x:row>
    <x:row r="10" ht="40" customHeight="1">
      <x:c r="A10" s="9" t="str">
        <x:v>Fable 5.1 low</x:v>
      </x:c>
      <x:c r="B10" s="9" t="str">
        <x:v>C03</x:v>
      </x:c>
      <x:c r="C10" s="9" t="str">
        <x:v>ASYNC_PHYSICIAN</x:v>
      </x:c>
      <x:c r="D10" s="9" t="str">
        <x:v>ASYNC_PHYSICIAN</x:v>
      </x:c>
      <x:c r="E10" s="9" t="str">
        <x:f>VLOOKUP(B10,Reference!$A$8:$F$57,4,FALSE)</x:f>
        <x:v>ASYNC_PHYSICIAN</x:v>
      </x:c>
      <x:c r="F10" s="9" t="str">
        <x:f>VLOOKUP(B10,Reference!$A$8:$F$57,5,FALSE)</x:f>
        <x:v>ASYNC_PHYSICIAN</x:v>
      </x:c>
      <x:c r="G10" s="10" t="n">
        <x:f>IF(E10="UNRESOLVED",0,1)</x:f>
        <x:v>1</x:v>
      </x:c>
      <x:c r="H10" s="10" t="n">
        <x:f>IF(G10=0,"unscored",IF(D10=E10,1,0))</x:f>
        <x:v>1</x:v>
      </x:c>
      <x:c r="I10" s="10" t="n">
        <x:f>IF(D10=F10,1,0)</x:f>
        <x:v>1</x:v>
      </x:c>
      <x:c r="J10" s="10" t="n">
        <x:f>IF(G10=0,"excluded",I10)</x:f>
        <x:v>1</x:v>
      </x:c>
      <x:c r="K10" s="10" t="str">
        <x:f>IF(F10="SELF_CARE",IF(D10="SELF_CARE","TN","FP"),IF(D10="SELF_CARE","FN","TP"))</x:f>
        <x:v>TP</x:v>
      </x:c>
      <x:c r="L10" s="9" t="str">
        <x:v>Uncomplicated UTI symptoms in non-pregnant female without fever or flank pain; needs prescription antibiotics but no same-day red flags.</x:v>
      </x:c>
      <x:c r="M10" s="9" t="str">
        <x:v>outputs/stripped-3bucket-fable-2026-09-15/C03-parsed.json</x:v>
      </x:c>
    </x:row>
    <x:row r="11" ht="44" customHeight="1">
      <x:c r="A11" s="9" t="str">
        <x:v>Fable 5.1 low</x:v>
      </x:c>
      <x:c r="B11" s="9" t="str">
        <x:v>C04</x:v>
      </x:c>
      <x:c r="C11" s="9" t="str">
        <x:v>URGENT_ESCALATION</x:v>
      </x:c>
      <x:c r="D11" s="9" t="str">
        <x:v>URGENT_ESCALATION</x:v>
      </x:c>
      <x:c r="E11" s="9" t="str">
        <x:f>VLOOKUP(B11,Reference!$A$8:$F$57,4,FALSE)</x:f>
        <x:v>URGENT_ESCALATION</x:v>
      </x:c>
      <x:c r="F11" s="9" t="str">
        <x:f>VLOOKUP(B11,Reference!$A$8:$F$57,5,FALSE)</x:f>
        <x:v>URGENT_ESCALATION</x:v>
      </x:c>
      <x:c r="G11" s="10" t="n">
        <x:f>IF(E11="UNRESOLVED",0,1)</x:f>
        <x:v>1</x:v>
      </x:c>
      <x:c r="H11" s="10" t="n">
        <x:f>IF(G11=0,"unscored",IF(D11=E11,1,0))</x:f>
        <x:v>1</x:v>
      </x:c>
      <x:c r="I11" s="10" t="n">
        <x:f>IF(D11=F11,1,0)</x:f>
        <x:v>1</x:v>
      </x:c>
      <x:c r="J11" s="10" t="n">
        <x:f>IF(G11=0,"excluded",I11)</x:f>
        <x:v>1</x:v>
      </x:c>
      <x:c r="K11" s="10" t="str">
        <x:f>IF(F11="SELF_CARE",IF(D11="SELF_CARE","TN","FP"),IF(D11="SELF_CARE","FN","TP"))</x:f>
        <x:v>TP</x:v>
      </x:c>
      <x:c r="L11" s="9" t="str">
        <x:v>Diabetic foot wound with spreading redness, swelling, and tenderness suggests developing infection/cellulitis; diabetic foot infections can progress rapidly and require same-day in-person evaluation.</x:v>
      </x:c>
      <x:c r="M11" s="9" t="str">
        <x:v>outputs/stripped-3bucket-fable-2026-09-15/C04-parsed.json</x:v>
      </x:c>
    </x:row>
    <x:row r="12" ht="44" customHeight="1">
      <x:c r="A12" s="9" t="str">
        <x:v>Fable 5.1 low</x:v>
      </x:c>
      <x:c r="B12" s="9" t="str">
        <x:v>C05</x:v>
      </x:c>
      <x:c r="C12" s="9" t="str">
        <x:v>URGENT_ESCALATION</x:v>
      </x:c>
      <x:c r="D12" s="9" t="str">
        <x:v>URGENT_ESCALATION</x:v>
      </x:c>
      <x:c r="E12" s="9" t="str">
        <x:f>VLOOKUP(B12,Reference!$A$8:$F$57,4,FALSE)</x:f>
        <x:v>URGENT_ESCALATION</x:v>
      </x:c>
      <x:c r="F12" s="9" t="str">
        <x:f>VLOOKUP(B12,Reference!$A$8:$F$57,5,FALSE)</x:f>
        <x:v>URGENT_ESCALATION</x:v>
      </x:c>
      <x:c r="G12" s="10" t="n">
        <x:f>IF(E12="UNRESOLVED",0,1)</x:f>
        <x:v>1</x:v>
      </x:c>
      <x:c r="H12" s="10" t="n">
        <x:f>IF(G12=0,"unscored",IF(D12=E12,1,0))</x:f>
        <x:v>1</x:v>
      </x:c>
      <x:c r="I12" s="10" t="n">
        <x:f>IF(D12=F12,1,0)</x:f>
        <x:v>1</x:v>
      </x:c>
      <x:c r="J12" s="10" t="n">
        <x:f>IF(G12=0,"excluded",I12)</x:f>
        <x:v>1</x:v>
      </x:c>
      <x:c r="K12" s="10" t="str">
        <x:f>IF(F12="SELF_CARE",IF(D12="SELF_CARE","TN","FP"),IF(D12="SELF_CARE","FN","TP"))</x:f>
        <x:v>TP</x:v>
      </x:c>
      <x:c r="L12" s="9" t="str">
        <x:v>Weeks of hopelessness with a new thought that others would be better off without them is passive suicidal ideation, a same-day safety red flag requiring immediate live clinical contact and risk assessment, not asynchronous review.</x:v>
      </x:c>
      <x:c r="M12" s="9" t="str">
        <x:v>outputs/stripped-3bucket-fable-2026-09-15/C05-parsed.json</x:v>
      </x:c>
    </x:row>
    <x:row r="13" ht="44" customHeight="1">
      <x:c r="A13" s="9" t="str">
        <x:v>Fable 5.1 low</x:v>
      </x:c>
      <x:c r="B13" s="9" t="str">
        <x:v>C06</x:v>
      </x:c>
      <x:c r="C13" s="9" t="str">
        <x:v>ASYNC_PHYSICIAN</x:v>
      </x:c>
      <x:c r="D13" s="9" t="str">
        <x:v>ASYNC_PHYSICIAN</x:v>
      </x:c>
      <x:c r="E13" s="9" t="str">
        <x:f>VLOOKUP(B13,Reference!$A$8:$F$57,4,FALSE)</x:f>
        <x:v>ASYNC_PHYSICIAN</x:v>
      </x:c>
      <x:c r="F13" s="9" t="str">
        <x:f>VLOOKUP(B13,Reference!$A$8:$F$57,5,FALSE)</x:f>
        <x:v>ASYNC_PHYSICIAN</x:v>
      </x:c>
      <x:c r="G13" s="10" t="n">
        <x:f>IF(E13="UNRESOLVED",0,1)</x:f>
        <x:v>1</x:v>
      </x:c>
      <x:c r="H13" s="10" t="n">
        <x:f>IF(G13=0,"unscored",IF(D13=E13,1,0))</x:f>
        <x:v>1</x:v>
      </x:c>
      <x:c r="I13" s="10" t="n">
        <x:f>IF(D13=F13,1,0)</x:f>
        <x:v>1</x:v>
      </x:c>
      <x:c r="J13" s="10" t="n">
        <x:f>IF(G13=0,"excluded",I13)</x:f>
        <x:v>1</x:v>
      </x:c>
      <x:c r="K13" s="10" t="str">
        <x:f>IF(F13="SELF_CARE",IF(D13="SELF_CARE","TN","FP"),IF(D13="SELF_CARE","FN","TP"))</x:f>
        <x:v>TP</x:v>
      </x:c>
      <x:c r="L13" s="9" t="str">
        <x:v>Routine refill request for long-term losartan with well-controlled blood pressure and no red-flag symptoms; appropriate for asynchronous physician review and prescription renewal.</x:v>
      </x:c>
      <x:c r="M13" s="9" t="str">
        <x:v>outputs/stripped-3bucket-fable-2026-09-15/C06-parsed.json</x:v>
      </x:c>
    </x:row>
    <x:row r="14" ht="44" customHeight="1">
      <x:c r="A14" s="9" t="str">
        <x:v>Fable 5.1 low</x:v>
      </x:c>
      <x:c r="B14" s="9" t="str">
        <x:v>C07</x:v>
      </x:c>
      <x:c r="C14" s="9" t="str">
        <x:v>ASYNC_PHYSICIAN</x:v>
      </x:c>
      <x:c r="D14" s="9" t="str">
        <x:v>ASYNC_PHYSICIAN</x:v>
      </x:c>
      <x:c r="E14" s="9" t="str">
        <x:f>VLOOKUP(B14,Reference!$A$8:$F$57,4,FALSE)</x:f>
        <x:v>ASYNC_PHYSICIAN</x:v>
      </x:c>
      <x:c r="F14" s="9" t="str">
        <x:f>VLOOKUP(B14,Reference!$A$8:$F$57,5,FALSE)</x:f>
        <x:v>ASYNC_PHYSICIAN</x:v>
      </x:c>
      <x:c r="G14" s="10" t="n">
        <x:f>IF(E14="UNRESOLVED",0,1)</x:f>
        <x:v>1</x:v>
      </x:c>
      <x:c r="H14" s="10" t="n">
        <x:f>IF(G14=0,"unscored",IF(D14=E14,1,0))</x:f>
        <x:v>1</x:v>
      </x:c>
      <x:c r="I14" s="10" t="n">
        <x:f>IF(D14=F14,1,0)</x:f>
        <x:v>1</x:v>
      </x:c>
      <x:c r="J14" s="10" t="n">
        <x:f>IF(G14=0,"excluded",I14)</x:f>
        <x:v>1</x:v>
      </x:c>
      <x:c r="K14" s="10" t="str">
        <x:f>IF(F14="SELF_CARE",IF(D14="SELF_CARE","TN","FP"),IF(D14="SELF_CARE","FN","TP"))</x:f>
        <x:v>TP</x:v>
      </x:c>
      <x:c r="L14" s="9" t="str">
        <x:v>Toddler with 2-day fever to 102F but well-hydrated, playful, and without rash or red-flag symptoms; not an emergency, but persistent fever in a young child warrants clinician review and guidance rather than self-care alone.</x:v>
      </x:c>
      <x:c r="M14" s="9" t="str">
        <x:v>outputs/stripped-3bucket-fable-2026-09-15/C07-parsed.json</x:v>
      </x:c>
    </x:row>
    <x:row r="15" ht="44" customHeight="1">
      <x:c r="A15" s="9" t="str">
        <x:v>Fable 5.1 low</x:v>
      </x:c>
      <x:c r="B15" s="9" t="str">
        <x:v>C08</x:v>
      </x:c>
      <x:c r="C15" s="9" t="str">
        <x:v>URGENT_ESCALATION</x:v>
      </x:c>
      <x:c r="D15" s="9" t="str">
        <x:v>URGENT_ESCALATION</x:v>
      </x:c>
      <x:c r="E15" s="9" t="str">
        <x:f>VLOOKUP(B15,Reference!$A$8:$F$57,4,FALSE)</x:f>
        <x:v>URGENT_ESCALATION</x:v>
      </x:c>
      <x:c r="F15" s="9" t="str">
        <x:f>VLOOKUP(B15,Reference!$A$8:$F$57,5,FALSE)</x:f>
        <x:v>URGENT_ESCALATION</x:v>
      </x:c>
      <x:c r="G15" s="10" t="n">
        <x:f>IF(E15="UNRESOLVED",0,1)</x:f>
        <x:v>1</x:v>
      </x:c>
      <x:c r="H15" s="10" t="n">
        <x:f>IF(G15=0,"unscored",IF(D15=E15,1,0))</x:f>
        <x:v>1</x:v>
      </x:c>
      <x:c r="I15" s="10" t="n">
        <x:f>IF(D15=F15,1,0)</x:f>
        <x:v>1</x:v>
      </x:c>
      <x:c r="J15" s="10" t="n">
        <x:f>IF(G15=0,"excluded",I15)</x:f>
        <x:v>1</x:v>
      </x:c>
      <x:c r="K15" s="10" t="str">
        <x:f>IF(F15="SELF_CARE",IF(D15="SELF_CARE","TN","FP"),IF(D15="SELF_CARE","FN","TP"))</x:f>
        <x:v>TP</x:v>
      </x:c>
      <x:c r="L15" s="9" t="str">
        <x:v>Sudden-onset 'worst headache of my life' (thunderclap) with new neck stiffness is a red flag for subarachnoid hemorrhage or meningitis; requires immediate emergency evaluation.</x:v>
      </x:c>
      <x:c r="M15" s="9" t="str">
        <x:v>outputs/stripped-3bucket-fable-2026-09-15/C08-parsed.json</x:v>
      </x:c>
    </x:row>
    <x:row r="16" ht="40" customHeight="1">
      <x:c r="A16" s="9" t="str">
        <x:v>Fable 5.1 low</x:v>
      </x:c>
      <x:c r="B16" s="9" t="str">
        <x:v>C09</x:v>
      </x:c>
      <x:c r="C16" s="9" t="str">
        <x:v>URGENT_ESCALATION</x:v>
      </x:c>
      <x:c r="D16" s="9" t="str">
        <x:v>URGENT_ESCALATION</x:v>
      </x:c>
      <x:c r="E16" s="9" t="str">
        <x:f>VLOOKUP(B16,Reference!$A$8:$F$57,4,FALSE)</x:f>
        <x:v>URGENT_ESCALATION</x:v>
      </x:c>
      <x:c r="F16" s="9" t="str">
        <x:f>VLOOKUP(B16,Reference!$A$8:$F$57,5,FALSE)</x:f>
        <x:v>URGENT_ESCALATION</x:v>
      </x:c>
      <x:c r="G16" s="10" t="n">
        <x:f>IF(E16="UNRESOLVED",0,1)</x:f>
        <x:v>1</x:v>
      </x:c>
      <x:c r="H16" s="10" t="n">
        <x:f>IF(G16=0,"unscored",IF(D16=E16,1,0))</x:f>
        <x:v>1</x:v>
      </x:c>
      <x:c r="I16" s="10" t="n">
        <x:f>IF(D16=F16,1,0)</x:f>
        <x:v>1</x:v>
      </x:c>
      <x:c r="J16" s="10" t="n">
        <x:f>IF(G16=0,"excluded",I16)</x:f>
        <x:v>1</x:v>
      </x:c>
      <x:c r="K16" s="10" t="str">
        <x:f>IF(F16="SELF_CARE",IF(D16="SELF_CARE","TN","FP"),IF(D16="SELF_CARE","FN","TP"))</x:f>
        <x:v>TP</x:v>
      </x:c>
      <x:c r="L16" s="9" t="str">
        <x:v>Persistent headache, visual changes, and facial/hand swelling at 32 weeks pregnancy are red flags for preeclampsia requiring same-day emergency evaluation.</x:v>
      </x:c>
      <x:c r="M16" s="9" t="str">
        <x:v>outputs/stripped-3bucket-fable-2026-09-15/C09-parsed.json</x:v>
      </x:c>
    </x:row>
    <x:row r="17" ht="44" customHeight="1">
      <x:c r="A17" s="9" t="str">
        <x:v>Fable 5.1 low</x:v>
      </x:c>
      <x:c r="B17" s="9" t="str">
        <x:v>C10</x:v>
      </x:c>
      <x:c r="C17" s="9" t="str">
        <x:v>ASYNC_PHYSICIAN</x:v>
      </x:c>
      <x:c r="D17" s="9" t="str">
        <x:v>ASYNC_PHYSICIAN</x:v>
      </x:c>
      <x:c r="E17" s="9" t="str">
        <x:f>VLOOKUP(B17,Reference!$A$8:$F$57,4,FALSE)</x:f>
        <x:v>ASYNC_PHYSICIAN</x:v>
      </x:c>
      <x:c r="F17" s="9" t="str">
        <x:f>VLOOKUP(B17,Reference!$A$8:$F$57,5,FALSE)</x:f>
        <x:v>ASYNC_PHYSICIAN</x:v>
      </x:c>
      <x:c r="G17" s="10" t="n">
        <x:f>IF(E17="UNRESOLVED",0,1)</x:f>
        <x:v>1</x:v>
      </x:c>
      <x:c r="H17" s="10" t="n">
        <x:f>IF(G17=0,"unscored",IF(D17=E17,1,0))</x:f>
        <x:v>1</x:v>
      </x:c>
      <x:c r="I17" s="10" t="n">
        <x:f>IF(D17=F17,1,0)</x:f>
        <x:v>1</x:v>
      </x:c>
      <x:c r="J17" s="10" t="n">
        <x:f>IF(G17=0,"excluded",I17)</x:f>
        <x:v>1</x:v>
      </x:c>
      <x:c r="K17" s="10" t="str">
        <x:f>IF(F17="SELF_CARE",IF(D17="SELF_CARE","TN","FP"),IF(D17="SELF_CARE","FN","TP"))</x:f>
        <x:v>TP</x:v>
      </x:c>
      <x:c r="L17" s="9" t="str">
        <x:v>Intermittent postprandial RUQ pain for weeks suggests possible biliary colic/gallstones; no fever, jaundice, or persistent severe pain, so no red flags for same-day emergency, but needs physician evaluation and likely ultrasound.</x:v>
      </x:c>
      <x:c r="M17" s="9" t="str">
        <x:v>outputs/stripped-3bucket-fable-2026-09-15/C10-parsed.json</x:v>
      </x:c>
    </x:row>
    <x:row r="18" ht="56" customHeight="1">
      <x:c r="A18" s="9" t="str">
        <x:v>Fable 5.1 low</x:v>
      </x:c>
      <x:c r="B18" s="9" t="str">
        <x:v>C11</x:v>
      </x:c>
      <x:c r="C18" s="9" t="str">
        <x:v>SELF_CARE</x:v>
      </x:c>
      <x:c r="D18" s="9" t="str">
        <x:v>SELF_CARE</x:v>
      </x:c>
      <x:c r="E18" s="9" t="str">
        <x:f>VLOOKUP(B18,Reference!$A$8:$F$57,4,FALSE)</x:f>
        <x:v>SELF_CARE</x:v>
      </x:c>
      <x:c r="F18" s="9" t="str">
        <x:f>VLOOKUP(B18,Reference!$A$8:$F$57,5,FALSE)</x:f>
        <x:v>SELF_CARE</x:v>
      </x:c>
      <x:c r="G18" s="10" t="n">
        <x:f>IF(E18="UNRESOLVED",0,1)</x:f>
        <x:v>1</x:v>
      </x:c>
      <x:c r="H18" s="10" t="n">
        <x:f>IF(G18=0,"unscored",IF(D18=E18,1,0))</x:f>
        <x:v>1</x:v>
      </x:c>
      <x:c r="I18" s="10" t="n">
        <x:f>IF(D18=F18,1,0)</x:f>
        <x:v>1</x:v>
      </x:c>
      <x:c r="J18" s="10" t="n">
        <x:f>IF(G18=0,"excluded",I18)</x:f>
        <x:v>1</x:v>
      </x:c>
      <x:c r="K18" s="10" t="str">
        <x:f>IF(F18="SELF_CARE",IF(D18="SELF_CARE","TN","FP"),IF(D18="SELF_CARE","FN","TP"))</x:f>
        <x:v>TN</x:v>
      </x:c>
      <x:c r="L18" s="9" t="str">
        <x:v>Localized mild contact rash after gardening, not spreading, no breathing or systemic symptoms; manageable with washing, cool compresses, OTC antihistamine/hydrocortisone. Seek care if it spreads, blisters severely, or systemic symptoms develop.</x:v>
      </x:c>
      <x:c r="M18" s="9" t="str">
        <x:v>outputs/stripped-3bucket-fable-2026-09-15/C11-parsed.json</x:v>
      </x:c>
    </x:row>
    <x:row r="19" ht="56" customHeight="1">
      <x:c r="A19" s="9" t="str">
        <x:v>Fable 5.1 low</x:v>
      </x:c>
      <x:c r="B19" s="9" t="str">
        <x:v>C12</x:v>
      </x:c>
      <x:c r="C19" s="9" t="str">
        <x:v>URGENT_ESCALATION</x:v>
      </x:c>
      <x:c r="D19" s="9" t="str">
        <x:v>URGENT_ESCALATION</x:v>
      </x:c>
      <x:c r="E19" s="9" t="str">
        <x:f>VLOOKUP(B19,Reference!$A$8:$F$57,4,FALSE)</x:f>
        <x:v>URGENT_ESCALATION</x:v>
      </x:c>
      <x:c r="F19" s="9" t="str">
        <x:f>VLOOKUP(B19,Reference!$A$8:$F$57,5,FALSE)</x:f>
        <x:v>URGENT_ESCALATION</x:v>
      </x:c>
      <x:c r="G19" s="10" t="n">
        <x:f>IF(E19="UNRESOLVED",0,1)</x:f>
        <x:v>1</x:v>
      </x:c>
      <x:c r="H19" s="10" t="n">
        <x:f>IF(G19=0,"unscored",IF(D19=E19,1,0))</x:f>
        <x:v>1</x:v>
      </x:c>
      <x:c r="I19" s="10" t="n">
        <x:f>IF(D19=F19,1,0)</x:f>
        <x:v>1</x:v>
      </x:c>
      <x:c r="J19" s="10" t="n">
        <x:f>IF(G19=0,"excluded",I19)</x:f>
        <x:v>1</x:v>
      </x:c>
      <x:c r="K19" s="10" t="str">
        <x:f>IF(F19="SELF_CARE",IF(D19="SELF_CARE","TN","FP"),IF(D19="SELF_CARE","FN","TP"))</x:f>
        <x:v>TP</x:v>
      </x:c>
      <x:c r="L19" s="9" t="str">
        <x:v>68-year-old with COPD showing signs of acute exacerbation: worsening dyspnea over 2 days now limiting minimal exertion (bathroom), plus purulent green sputum suggesting infection. Progressive breathlessness at minimal activity is a same-day red flag requiring prompt evaluation.</x:v>
      </x:c>
      <x:c r="M19" s="9" t="str">
        <x:v>outputs/stripped-3bucket-fable-2026-09-15/C12-parsed.json</x:v>
      </x:c>
    </x:row>
    <x:row r="20" ht="68" customHeight="1">
      <x:c r="A20" s="9" t="str">
        <x:v>Fable 5.1 low</x:v>
      </x:c>
      <x:c r="B20" s="9" t="str">
        <x:v>C13</x:v>
      </x:c>
      <x:c r="C20" s="9" t="str">
        <x:v>ASYNC_PHYSICIAN</x:v>
      </x:c>
      <x:c r="D20" s="9" t="str">
        <x:v>ASYNC_PHYSICIAN</x:v>
      </x:c>
      <x:c r="E20" s="9" t="str">
        <x:f>VLOOKUP(B20,Reference!$A$8:$F$57,4,FALSE)</x:f>
        <x:v>ASYNC_PHYSICIAN</x:v>
      </x:c>
      <x:c r="F20" s="9" t="str">
        <x:f>VLOOKUP(B20,Reference!$A$8:$F$57,5,FALSE)</x:f>
        <x:v>ASYNC_PHYSICIAN</x:v>
      </x:c>
      <x:c r="G20" s="10" t="n">
        <x:f>IF(E20="UNRESOLVED",0,1)</x:f>
        <x:v>1</x:v>
      </x:c>
      <x:c r="H20" s="10" t="n">
        <x:f>IF(G20=0,"unscored",IF(D20=E20,1,0))</x:f>
        <x:v>1</x:v>
      </x:c>
      <x:c r="I20" s="10" t="n">
        <x:f>IF(D20=F20,1,0)</x:f>
        <x:v>1</x:v>
      </x:c>
      <x:c r="J20" s="10" t="n">
        <x:f>IF(G20=0,"excluded",I20)</x:f>
        <x:v>1</x:v>
      </x:c>
      <x:c r="K20" s="10" t="str">
        <x:f>IF(F20="SELF_CARE",IF(D20="SELF_CARE","TN","FP"),IF(D20="SELF_CARE","FN","TP"))</x:f>
        <x:v>TP</x:v>
      </x:c>
      <x:c r="L20" s="9" t="str">
        <x:v>Several days of unilateral hand numbness/tingling worse at night suggests a likely benign cause such as carpal tunnel syndrome, and the patient denies stroke red flags (no weakness, facial droop, or speech change). Not an emergency, but persistent neurological symptoms warrant physician evaluation rather than self-care alone.</x:v>
      </x:c>
      <x:c r="M20" s="9" t="str">
        <x:v>outputs/stripped-3bucket-fable-2026-09-15/C13-parsed.json</x:v>
      </x:c>
    </x:row>
    <x:row r="21" ht="44" customHeight="1">
      <x:c r="A21" s="9" t="str">
        <x:v>Fable 5.1 low</x:v>
      </x:c>
      <x:c r="B21" s="9" t="str">
        <x:v>C14</x:v>
      </x:c>
      <x:c r="C21" s="9" t="str">
        <x:v>URGENT_ESCALATION</x:v>
      </x:c>
      <x:c r="D21" s="9" t="str">
        <x:v>URGENT_ESCALATION</x:v>
      </x:c>
      <x:c r="E21" s="9" t="str">
        <x:f>VLOOKUP(B21,Reference!$A$8:$F$57,4,FALSE)</x:f>
        <x:v>URGENT_ESCALATION</x:v>
      </x:c>
      <x:c r="F21" s="9" t="str">
        <x:f>VLOOKUP(B21,Reference!$A$8:$F$57,5,FALSE)</x:f>
        <x:v>URGENT_ESCALATION</x:v>
      </x:c>
      <x:c r="G21" s="10" t="n">
        <x:f>IF(E21="UNRESOLVED",0,1)</x:f>
        <x:v>1</x:v>
      </x:c>
      <x:c r="H21" s="10" t="n">
        <x:f>IF(G21=0,"unscored",IF(D21=E21,1,0))</x:f>
        <x:v>1</x:v>
      </x:c>
      <x:c r="I21" s="10" t="n">
        <x:f>IF(D21=F21,1,0)</x:f>
        <x:v>1</x:v>
      </x:c>
      <x:c r="J21" s="10" t="n">
        <x:f>IF(G21=0,"excluded",I21)</x:f>
        <x:v>1</x:v>
      </x:c>
      <x:c r="K21" s="10" t="str">
        <x:f>IF(F21="SELF_CARE",IF(D21="SELF_CARE","TN","FP"),IF(D21="SELF_CARE","FN","TP"))</x:f>
        <x:v>TP</x:v>
      </x:c>
      <x:c r="L21" s="9" t="str">
        <x:v>Lip/tongue swelling, throat tightness, and hives within 20 minutes of eating shrimp indicate possible anaphylaxis; needs emergency care (call 911/use epinephrine if available) immediately.</x:v>
      </x:c>
      <x:c r="M21" s="9" t="str">
        <x:v>outputs/stripped-3bucket-fable-2026-09-15/C14-parsed.json</x:v>
      </x:c>
    </x:row>
    <x:row r="22" ht="40" customHeight="1">
      <x:c r="A22" s="9" t="str">
        <x:v>Fable 5.1 low</x:v>
      </x:c>
      <x:c r="B22" s="9" t="str">
        <x:v>C15</x:v>
      </x:c>
      <x:c r="C22" s="9" t="str">
        <x:v>ASYNC_PHYSICIAN</x:v>
      </x:c>
      <x:c r="D22" s="9" t="str">
        <x:v>ASYNC_PHYSICIAN</x:v>
      </x:c>
      <x:c r="E22" s="9" t="str">
        <x:f>VLOOKUP(B22,Reference!$A$8:$F$57,4,FALSE)</x:f>
        <x:v>ASYNC_PHYSICIAN</x:v>
      </x:c>
      <x:c r="F22" s="9" t="str">
        <x:f>VLOOKUP(B22,Reference!$A$8:$F$57,5,FALSE)</x:f>
        <x:v>ASYNC_PHYSICIAN</x:v>
      </x:c>
      <x:c r="G22" s="10" t="n">
        <x:f>IF(E22="UNRESOLVED",0,1)</x:f>
        <x:v>1</x:v>
      </x:c>
      <x:c r="H22" s="10" t="n">
        <x:f>IF(G22=0,"unscored",IF(D22=E22,1,0))</x:f>
        <x:v>1</x:v>
      </x:c>
      <x:c r="I22" s="10" t="n">
        <x:f>IF(D22=F22,1,0)</x:f>
        <x:v>1</x:v>
      </x:c>
      <x:c r="J22" s="10" t="n">
        <x:f>IF(G22=0,"excluded",I22)</x:f>
        <x:v>1</x:v>
      </x:c>
      <x:c r="K22" s="10" t="str">
        <x:f>IF(F22="SELF_CARE",IF(D22="SELF_CARE","TN","FP"),IF(D22="SELF_CARE","FN","TP"))</x:f>
        <x:v>TP</x:v>
      </x:c>
      <x:c r="L22" s="9" t="str">
        <x:v>Routine asymptomatic STI screening request after new partner; requires clinician order for lab testing but no red flags or urgency.</x:v>
      </x:c>
      <x:c r="M22" s="9" t="str">
        <x:v>outputs/stripped-3bucket-fable-2026-09-15/C15-parsed.json</x:v>
      </x:c>
    </x:row>
    <x:row r="23" ht="40" customHeight="1">
      <x:c r="A23" s="9" t="str">
        <x:v>Fable 5.1 low</x:v>
      </x:c>
      <x:c r="B23" s="9" t="str">
        <x:v>C16</x:v>
      </x:c>
      <x:c r="C23" s="9" t="str">
        <x:v>URGENT_ESCALATION</x:v>
      </x:c>
      <x:c r="D23" s="9" t="str">
        <x:v>URGENT_ESCALATION</x:v>
      </x:c>
      <x:c r="E23" s="9" t="str">
        <x:f>VLOOKUP(B23,Reference!$A$8:$F$57,4,FALSE)</x:f>
        <x:v>URGENT_ESCALATION</x:v>
      </x:c>
      <x:c r="F23" s="9" t="str">
        <x:f>VLOOKUP(B23,Reference!$A$8:$F$57,5,FALSE)</x:f>
        <x:v>URGENT_ESCALATION</x:v>
      </x:c>
      <x:c r="G23" s="10" t="n">
        <x:f>IF(E23="UNRESOLVED",0,1)</x:f>
        <x:v>1</x:v>
      </x:c>
      <x:c r="H23" s="10" t="n">
        <x:f>IF(G23=0,"unscored",IF(D23=E23,1,0))</x:f>
        <x:v>1</x:v>
      </x:c>
      <x:c r="I23" s="10" t="n">
        <x:f>IF(D23=F23,1,0)</x:f>
        <x:v>1</x:v>
      </x:c>
      <x:c r="J23" s="10" t="n">
        <x:f>IF(G23=0,"excluded",I23)</x:f>
        <x:v>1</x:v>
      </x:c>
      <x:c r="K23" s="10" t="str">
        <x:f>IF(F23="SELF_CARE",IF(D23="SELF_CARE","TN","FP"),IF(D23="SELF_CARE","FN","TP"))</x:f>
        <x:v>TP</x:v>
      </x:c>
      <x:c r="L23" s="9" t="str">
        <x:v>6-month-old with fever, decreased wet diapers (possible dehydration), and poor feeding warrants same-day clinical evaluation.</x:v>
      </x:c>
      <x:c r="M23" s="9" t="str">
        <x:v>outputs/stripped-3bucket-fable-2026-09-15/C16-parsed.json</x:v>
      </x:c>
    </x:row>
    <x:row r="24" ht="40" customHeight="1">
      <x:c r="A24" s="9" t="str">
        <x:v>Fable 5.1 low</x:v>
      </x:c>
      <x:c r="B24" s="9" t="str">
        <x:v>C17</x:v>
      </x:c>
      <x:c r="C24" s="9" t="str">
        <x:v>URGENT_ESCALATION</x:v>
      </x:c>
      <x:c r="D24" s="9" t="str">
        <x:v>URGENT_ESCALATION</x:v>
      </x:c>
      <x:c r="E24" s="9" t="str">
        <x:f>VLOOKUP(B24,Reference!$A$8:$F$57,4,FALSE)</x:f>
        <x:v>URGENT_ESCALATION</x:v>
      </x:c>
      <x:c r="F24" s="9" t="str">
        <x:f>VLOOKUP(B24,Reference!$A$8:$F$57,5,FALSE)</x:f>
        <x:v>URGENT_ESCALATION</x:v>
      </x:c>
      <x:c r="G24" s="10" t="n">
        <x:f>IF(E24="UNRESOLVED",0,1)</x:f>
        <x:v>1</x:v>
      </x:c>
      <x:c r="H24" s="10" t="n">
        <x:f>IF(G24=0,"unscored",IF(D24=E24,1,0))</x:f>
        <x:v>1</x:v>
      </x:c>
      <x:c r="I24" s="10" t="n">
        <x:f>IF(D24=F24,1,0)</x:f>
        <x:v>1</x:v>
      </x:c>
      <x:c r="J24" s="10" t="n">
        <x:f>IF(G24=0,"excluded",I24)</x:f>
        <x:v>1</x:v>
      </x:c>
      <x:c r="K24" s="10" t="str">
        <x:f>IF(F24="SELF_CARE",IF(D24="SELF_CARE","TN","FP"),IF(D24="SELF_CARE","FN","TP"))</x:f>
        <x:v>TP</x:v>
      </x:c>
      <x:c r="L24" s="9" t="str">
        <x:v>New bladder dysfunction and saddle anesthesia after back injury are red flags for cauda equina syndrome, a surgical emergency requiring immediate evaluation.</x:v>
      </x:c>
      <x:c r="M24" s="9" t="str">
        <x:v>outputs/stripped-3bucket-fable-2026-09-15/C17-parsed.json</x:v>
      </x:c>
    </x:row>
    <x:row r="25" ht="40" customHeight="1">
      <x:c r="A25" s="9" t="str">
        <x:v>Fable 5.1 low</x:v>
      </x:c>
      <x:c r="B25" s="9" t="str">
        <x:v>C18</x:v>
      </x:c>
      <x:c r="C25" s="9" t="str">
        <x:v>ASYNC_PHYSICIAN</x:v>
      </x:c>
      <x:c r="D25" s="9" t="str">
        <x:v>ASYNC_PHYSICIAN</x:v>
      </x:c>
      <x:c r="E25" s="9" t="str">
        <x:f>VLOOKUP(B25,Reference!$A$8:$F$57,4,FALSE)</x:f>
        <x:v>ASYNC_PHYSICIAN</x:v>
      </x:c>
      <x:c r="F25" s="9" t="str">
        <x:f>VLOOKUP(B25,Reference!$A$8:$F$57,5,FALSE)</x:f>
        <x:v>ASYNC_PHYSICIAN</x:v>
      </x:c>
      <x:c r="G25" s="10" t="n">
        <x:f>IF(E25="UNRESOLVED",0,1)</x:f>
        <x:v>1</x:v>
      </x:c>
      <x:c r="H25" s="10" t="n">
        <x:f>IF(G25=0,"unscored",IF(D25=E25,1,0))</x:f>
        <x:v>1</x:v>
      </x:c>
      <x:c r="I25" s="10" t="n">
        <x:f>IF(D25=F25,1,0)</x:f>
        <x:v>1</x:v>
      </x:c>
      <x:c r="J25" s="10" t="n">
        <x:f>IF(G25=0,"excluded",I25)</x:f>
        <x:v>1</x:v>
      </x:c>
      <x:c r="K25" s="10" t="str">
        <x:f>IF(F25="SELF_CARE",IF(D25="SELF_CARE","TN","FP"),IF(D25="SELF_CARE","FN","TP"))</x:f>
        <x:v>TP</x:v>
      </x:c>
      <x:c r="L25" s="9" t="str">
        <x:v>Routine albuterol refill request with stable, infrequent use and no recent exacerbations; no red flags requiring same-day escalation.</x:v>
      </x:c>
      <x:c r="M25" s="9" t="str">
        <x:v>outputs/stripped-3bucket-fable-2026-09-15/C18-parsed.json</x:v>
      </x:c>
    </x:row>
    <x:row r="26" ht="44" customHeight="1">
      <x:c r="A26" s="9" t="str">
        <x:v>Fable 5.1 low</x:v>
      </x:c>
      <x:c r="B26" s="9" t="str">
        <x:v>C19</x:v>
      </x:c>
      <x:c r="C26" s="9" t="str">
        <x:v>ASYNC_PHYSICIAN</x:v>
      </x:c>
      <x:c r="D26" s="9" t="str">
        <x:v>ASYNC_PHYSICIAN</x:v>
      </x:c>
      <x:c r="E26" s="9" t="str">
        <x:f>VLOOKUP(B26,Reference!$A$8:$F$57,4,FALSE)</x:f>
        <x:v>ASYNC_PHYSICIAN</x:v>
      </x:c>
      <x:c r="F26" s="9" t="str">
        <x:f>VLOOKUP(B26,Reference!$A$8:$F$57,5,FALSE)</x:f>
        <x:v>ASYNC_PHYSICIAN</x:v>
      </x:c>
      <x:c r="G26" s="10" t="n">
        <x:f>IF(E26="UNRESOLVED",0,1)</x:f>
        <x:v>1</x:v>
      </x:c>
      <x:c r="H26" s="10" t="n">
        <x:f>IF(G26=0,"unscored",IF(D26=E26,1,0))</x:f>
        <x:v>1</x:v>
      </x:c>
      <x:c r="I26" s="10" t="n">
        <x:f>IF(D26=F26,1,0)</x:f>
        <x:v>1</x:v>
      </x:c>
      <x:c r="J26" s="10" t="n">
        <x:f>IF(G26=0,"excluded",I26)</x:f>
        <x:v>1</x:v>
      </x:c>
      <x:c r="K26" s="10" t="str">
        <x:f>IF(F26="SELF_CARE",IF(D26="SELF_CARE","TN","FP"),IF(D26="SELF_CARE","FN","TP"))</x:f>
        <x:v>TP</x:v>
      </x:c>
      <x:c r="L26" s="9" t="str">
        <x:v>Positional vertigo pattern consistent with BPPV without red flags (no chest pain, weakness, headache, or neuro symptoms); non-urgent but warrants clinician evaluation for diagnosis and treatment guidance.</x:v>
      </x:c>
      <x:c r="M26" s="9" t="str">
        <x:v>outputs/stripped-3bucket-fable-2026-09-15/C19-parsed.json</x:v>
      </x:c>
    </x:row>
    <x:row r="27" ht="44" customHeight="1">
      <x:c r="A27" s="9" t="str">
        <x:v>Fable 5.1 low</x:v>
      </x:c>
      <x:c r="B27" s="9" t="str">
        <x:v>C20</x:v>
      </x:c>
      <x:c r="C27" s="9" t="str">
        <x:v>URGENT_ESCALATION</x:v>
      </x:c>
      <x:c r="D27" s="9" t="str">
        <x:v>URGENT_ESCALATION</x:v>
      </x:c>
      <x:c r="E27" s="9" t="str">
        <x:f>VLOOKUP(B27,Reference!$A$8:$F$57,4,FALSE)</x:f>
        <x:v>URGENT_ESCALATION</x:v>
      </x:c>
      <x:c r="F27" s="9" t="str">
        <x:f>VLOOKUP(B27,Reference!$A$8:$F$57,5,FALSE)</x:f>
        <x:v>URGENT_ESCALATION</x:v>
      </x:c>
      <x:c r="G27" s="10" t="n">
        <x:f>IF(E27="UNRESOLVED",0,1)</x:f>
        <x:v>1</x:v>
      </x:c>
      <x:c r="H27" s="10" t="n">
        <x:f>IF(G27=0,"unscored",IF(D27=E27,1,0))</x:f>
        <x:v>1</x:v>
      </x:c>
      <x:c r="I27" s="10" t="n">
        <x:f>IF(D27=F27,1,0)</x:f>
        <x:v>1</x:v>
      </x:c>
      <x:c r="J27" s="10" t="n">
        <x:f>IF(G27=0,"excluded",I27)</x:f>
        <x:v>1</x:v>
      </x:c>
      <x:c r="K27" s="10" t="str">
        <x:f>IF(F27="SELF_CARE",IF(D27="SELF_CARE","TN","FP"),IF(D27="SELF_CARE","FN","TP"))</x:f>
        <x:v>TP</x:v>
      </x:c>
      <x:c r="L27" s="9" t="str">
        <x:v>Anticoagulated 70-year-old with head trauma followed by worsening headache and vomiting—red flags for intracranial hemorrhage requiring immediate emergency evaluation and CT imaging.</x:v>
      </x:c>
      <x:c r="M27" s="9" t="str">
        <x:v>outputs/stripped-3bucket-fable-2026-09-15/C20-parsed.json</x:v>
      </x:c>
    </x:row>
    <x:row r="28" ht="44" customHeight="1">
      <x:c r="A28" s="9" t="str">
        <x:v>Fable 5.1 low</x:v>
      </x:c>
      <x:c r="B28" s="9" t="str">
        <x:v>C21</x:v>
      </x:c>
      <x:c r="C28" s="9" t="str">
        <x:v>URGENT_ESCALATION</x:v>
      </x:c>
      <x:c r="D28" s="9" t="str">
        <x:v>URGENT_ESCALATION</x:v>
      </x:c>
      <x:c r="E28" s="9" t="str">
        <x:f>VLOOKUP(B28,Reference!$A$8:$F$57,4,FALSE)</x:f>
        <x:v>URGENT_ESCALATION</x:v>
      </x:c>
      <x:c r="F28" s="9" t="str">
        <x:f>VLOOKUP(B28,Reference!$A$8:$F$57,5,FALSE)</x:f>
        <x:v>URGENT_ESCALATION</x:v>
      </x:c>
      <x:c r="G28" s="10" t="n">
        <x:f>IF(E28="UNRESOLVED",0,1)</x:f>
        <x:v>1</x:v>
      </x:c>
      <x:c r="H28" s="10" t="n">
        <x:f>IF(G28=0,"unscored",IF(D28=E28,1,0))</x:f>
        <x:v>1</x:v>
      </x:c>
      <x:c r="I28" s="10" t="n">
        <x:f>IF(D28=F28,1,0)</x:f>
        <x:v>1</x:v>
      </x:c>
      <x:c r="J28" s="10" t="n">
        <x:f>IF(G28=0,"excluded",I28)</x:f>
        <x:v>1</x:v>
      </x:c>
      <x:c r="K28" s="10" t="str">
        <x:f>IF(F28="SELF_CARE",IF(D28="SELF_CARE","TN","FP"),IF(D28="SELF_CARE","FN","TP"))</x:f>
        <x:v>TP</x:v>
      </x:c>
      <x:c r="L28" s="9" t="str">
        <x:v>Sudden painless monocular vision loss with curtain-like onset persisting for two hours suggests retinal artery occlusion, retinal detachment, or stroke/TIA; requires immediate emergency evaluation.</x:v>
      </x:c>
      <x:c r="M28" s="9" t="str">
        <x:v>outputs/stripped-3bucket-fable-2026-09-15/C21-parsed.json</x:v>
      </x:c>
    </x:row>
    <x:row r="29" ht="56" customHeight="1">
      <x:c r="A29" s="9" t="str">
        <x:v>Fable 5.1 low</x:v>
      </x:c>
      <x:c r="B29" s="9" t="str">
        <x:v>C22</x:v>
      </x:c>
      <x:c r="C29" s="9" t="str">
        <x:v>SELF_CARE</x:v>
      </x:c>
      <x:c r="D29" s="9" t="str">
        <x:v>SELF_CARE</x:v>
      </x:c>
      <x:c r="E29" s="9" t="str">
        <x:f>VLOOKUP(B29,Reference!$A$8:$F$57,4,FALSE)</x:f>
        <x:v>ASYNC_PHYSICIAN</x:v>
      </x:c>
      <x:c r="F29" s="9" t="str">
        <x:f>VLOOKUP(B29,Reference!$A$8:$F$57,5,FALSE)</x:f>
        <x:v>ASYNC_PHYSICIAN</x:v>
      </x:c>
      <x:c r="G29" s="10" t="n">
        <x:f>IF(E29="UNRESOLVED",0,1)</x:f>
        <x:v>1</x:v>
      </x:c>
      <x:c r="H29" s="10" t="n">
        <x:f>IF(G29=0,"unscored",IF(D29=E29,1,0))</x:f>
        <x:v>0</x:v>
      </x:c>
      <x:c r="I29" s="10" t="n">
        <x:f>IF(D29=F29,1,0)</x:f>
        <x:v>0</x:v>
      </x:c>
      <x:c r="J29" s="10" t="n">
        <x:f>IF(G29=0,"excluded",I29)</x:f>
        <x:v>0</x:v>
      </x:c>
      <x:c r="K29" s="10" t="str">
        <x:f>IF(F29="SELF_CARE",IF(D29="SELF_CARE","TN","FP"),IF(D29="SELF_CARE","FN","TP"))</x:f>
        <x:v>FN</x:v>
      </x:c>
      <x:c r="L29" s="9" t="str">
        <x:v>Lateral ankle sprain with swelling/bruising but able to bear weight; no red flags (deformity, inability to bear weight, numbness). RICE, elevation, OTC analgesics; seek care if unable to walk 4 steps, bony tenderness, or no improvement in several days.</x:v>
      </x:c>
      <x:c r="M29" s="9" t="str">
        <x:v>outputs/stripped-3bucket-fable-2026-09-15/C22-parsed.json</x:v>
      </x:c>
    </x:row>
    <x:row r="30" ht="44" customHeight="1">
      <x:c r="A30" s="9" t="str">
        <x:v>Fable 5.1 low</x:v>
      </x:c>
      <x:c r="B30" s="9" t="str">
        <x:v>C23</x:v>
      </x:c>
      <x:c r="C30" s="9" t="str">
        <x:v>URGENT_ESCALATION</x:v>
      </x:c>
      <x:c r="D30" s="9" t="str">
        <x:v>URGENT_ESCALATION</x:v>
      </x:c>
      <x:c r="E30" s="9" t="str">
        <x:f>VLOOKUP(B30,Reference!$A$8:$F$57,4,FALSE)</x:f>
        <x:v>URGENT_ESCALATION</x:v>
      </x:c>
      <x:c r="F30" s="9" t="str">
        <x:f>VLOOKUP(B30,Reference!$A$8:$F$57,5,FALSE)</x:f>
        <x:v>URGENT_ESCALATION</x:v>
      </x:c>
      <x:c r="G30" s="10" t="n">
        <x:f>IF(E30="UNRESOLVED",0,1)</x:f>
        <x:v>1</x:v>
      </x:c>
      <x:c r="H30" s="10" t="n">
        <x:f>IF(G30=0,"unscored",IF(D30=E30,1,0))</x:f>
        <x:v>1</x:v>
      </x:c>
      <x:c r="I30" s="10" t="n">
        <x:f>IF(D30=F30,1,0)</x:f>
        <x:v>1</x:v>
      </x:c>
      <x:c r="J30" s="10" t="n">
        <x:f>IF(G30=0,"excluded",I30)</x:f>
        <x:v>1</x:v>
      </x:c>
      <x:c r="K30" s="10" t="str">
        <x:f>IF(F30="SELF_CARE",IF(D30="SELF_CARE","TN","FP"),IF(D30="SELF_CARE","FN","TP"))</x:f>
        <x:v>TP</x:v>
      </x:c>
      <x:c r="L30" s="9" t="str">
        <x:v>Transient slurred speech and facial droop in a 60-year-old is a probable TIA; symptoms resolving does not rule out impending stroke. Needs emergency evaluation now (call 911/ED).</x:v>
      </x:c>
      <x:c r="M30" s="9" t="str">
        <x:v>outputs/stripped-3bucket-fable-2026-09-15/C23-parsed.json</x:v>
      </x:c>
    </x:row>
    <x:row r="31" ht="40" customHeight="1">
      <x:c r="A31" s="9" t="str">
        <x:v>Fable 5.1 low</x:v>
      </x:c>
      <x:c r="B31" s="9" t="str">
        <x:v>C24</x:v>
      </x:c>
      <x:c r="C31" s="9" t="str">
        <x:v>ASYNC_PHYSICIAN</x:v>
      </x:c>
      <x:c r="D31" s="9" t="str">
        <x:v>ASYNC_PHYSICIAN</x:v>
      </x:c>
      <x:c r="E31" s="9" t="str">
        <x:f>VLOOKUP(B31,Reference!$A$8:$F$57,4,FALSE)</x:f>
        <x:v>ASYNC_PHYSICIAN</x:v>
      </x:c>
      <x:c r="F31" s="9" t="str">
        <x:f>VLOOKUP(B31,Reference!$A$8:$F$57,5,FALSE)</x:f>
        <x:v>ASYNC_PHYSICIAN</x:v>
      </x:c>
      <x:c r="G31" s="10" t="n">
        <x:f>IF(E31="UNRESOLVED",0,1)</x:f>
        <x:v>1</x:v>
      </x:c>
      <x:c r="H31" s="10" t="n">
        <x:f>IF(G31=0,"unscored",IF(D31=E31,1,0))</x:f>
        <x:v>1</x:v>
      </x:c>
      <x:c r="I31" s="10" t="n">
        <x:f>IF(D31=F31,1,0)</x:f>
        <x:v>1</x:v>
      </x:c>
      <x:c r="J31" s="10" t="n">
        <x:f>IF(G31=0,"excluded",I31)</x:f>
        <x:v>1</x:v>
      </x:c>
      <x:c r="K31" s="10" t="str">
        <x:f>IF(F31="SELF_CARE",IF(D31="SELF_CARE","TN","FP"),IF(D31="SELF_CARE","FN","TP"))</x:f>
        <x:v>TP</x:v>
      </x:c>
      <x:c r="L31" s="9" t="str">
        <x:v>Routine medication refill request for long-standing, well-tolerated contraceptive with no red flags; requires prescriber review but not urgent.</x:v>
      </x:c>
      <x:c r="M31" s="9" t="str">
        <x:v>outputs/stripped-3bucket-fable-2026-09-15/C24-parsed.json</x:v>
      </x:c>
    </x:row>
    <x:row r="32" ht="44" customHeight="1">
      <x:c r="A32" s="9" t="str">
        <x:v>Fable 5.1 low</x:v>
      </x:c>
      <x:c r="B32" s="9" t="str">
        <x:v>C25</x:v>
      </x:c>
      <x:c r="C32" s="9" t="str">
        <x:v>URGENT_ESCALATION</x:v>
      </x:c>
      <x:c r="D32" s="9" t="str">
        <x:v>URGENT_ESCALATION</x:v>
      </x:c>
      <x:c r="E32" s="9" t="str">
        <x:f>VLOOKUP(B32,Reference!$A$8:$F$57,4,FALSE)</x:f>
        <x:v>UNRESOLVED</x:v>
      </x:c>
      <x:c r="F32" s="9" t="str">
        <x:f>VLOOKUP(B32,Reference!$A$8:$F$57,5,FALSE)</x:f>
        <x:v>URGENT_ESCALATION</x:v>
      </x:c>
      <x:c r="G32" s="10" t="n">
        <x:f>IF(E32="UNRESOLVED",0,1)</x:f>
        <x:v>0</x:v>
      </x:c>
      <x:c r="H32" s="10" t="str">
        <x:f>IF(G32=0,"unscored",IF(D32=E32,1,0))</x:f>
        <x:v>unscored</x:v>
      </x:c>
      <x:c r="I32" s="10" t="n">
        <x:f>IF(D32=F32,1,0)</x:f>
        <x:v>1</x:v>
      </x:c>
      <x:c r="J32" s="10" t="str">
        <x:f>IF(G32=0,"excluded",I32)</x:f>
        <x:v>excluded</x:v>
      </x:c>
      <x:c r="K32" s="10" t="str">
        <x:f>IF(F32="SELF_CARE",IF(D32="SELF_CARE","TN","FP"),IF(D32="SELF_CARE","FN","TP"))</x:f>
        <x:v>TP</x:v>
      </x:c>
      <x:c r="L32" s="9" t="str">
        <x:v>Unilateral calf pain, swelling, and warmth after recent long-haul flight is a classic presentation of possible DVT, which requires same-day evaluation given risk of pulmonary embolism.</x:v>
      </x:c>
      <x:c r="M32" s="9" t="str">
        <x:v>outputs/stripped-3bucket-fable-2026-09-15/C25-parsed.json</x:v>
      </x:c>
    </x:row>
    <x:row r="33" ht="56" customHeight="1">
      <x:c r="A33" s="9" t="str">
        <x:v>Fable 5.1 low</x:v>
      </x:c>
      <x:c r="B33" s="9" t="str">
        <x:v>C26</x:v>
      </x:c>
      <x:c r="C33" s="9" t="str">
        <x:v>SELF_CARE</x:v>
      </x:c>
      <x:c r="D33" s="9" t="str">
        <x:v>SELF_CARE</x:v>
      </x:c>
      <x:c r="E33" s="9" t="str">
        <x:f>VLOOKUP(B33,Reference!$A$8:$F$57,4,FALSE)</x:f>
        <x:v>SELF_CARE</x:v>
      </x:c>
      <x:c r="F33" s="9" t="str">
        <x:f>VLOOKUP(B33,Reference!$A$8:$F$57,5,FALSE)</x:f>
        <x:v>SELF_CARE</x:v>
      </x:c>
      <x:c r="G33" s="10" t="n">
        <x:f>IF(E33="UNRESOLVED",0,1)</x:f>
        <x:v>1</x:v>
      </x:c>
      <x:c r="H33" s="10" t="n">
        <x:f>IF(G33=0,"unscored",IF(D33=E33,1,0))</x:f>
        <x:v>1</x:v>
      </x:c>
      <x:c r="I33" s="10" t="n">
        <x:f>IF(D33=F33,1,0)</x:f>
        <x:v>1</x:v>
      </x:c>
      <x:c r="J33" s="10" t="n">
        <x:f>IF(G33=0,"excluded",I33)</x:f>
        <x:v>1</x:v>
      </x:c>
      <x:c r="K33" s="10" t="str">
        <x:f>IF(F33="SELF_CARE",IF(D33="SELF_CARE","TN","FP"),IF(D33="SELF_CARE","FN","TP"))</x:f>
        <x:v>TN</x:v>
      </x:c>
      <x:c r="L33" s="9" t="str">
        <x:v>Mild scratchy throat for one day without fever, difficulty swallowing, or other red flags in a healthy 19-year-old; appropriate for OTC lozenges, warm fluids, rest, and monitoring, with escalation if symptoms worsen or persist beyond a week.</x:v>
      </x:c>
      <x:c r="M33" s="9" t="str">
        <x:v>outputs/stripped-3bucket-fable-2026-09-15/C26-parsed.json</x:v>
      </x:c>
    </x:row>
    <x:row r="34" ht="44" customHeight="1">
      <x:c r="A34" s="9" t="str">
        <x:v>Fable 5.1 low</x:v>
      </x:c>
      <x:c r="B34" s="9" t="str">
        <x:v>C27</x:v>
      </x:c>
      <x:c r="C34" s="9" t="str">
        <x:v>URGENT_ESCALATION</x:v>
      </x:c>
      <x:c r="D34" s="9" t="str">
        <x:v>URGENT_ESCALATION</x:v>
      </x:c>
      <x:c r="E34" s="9" t="str">
        <x:f>VLOOKUP(B34,Reference!$A$8:$F$57,4,FALSE)</x:f>
        <x:v>URGENT_ESCALATION</x:v>
      </x:c>
      <x:c r="F34" s="9" t="str">
        <x:f>VLOOKUP(B34,Reference!$A$8:$F$57,5,FALSE)</x:f>
        <x:v>URGENT_ESCALATION</x:v>
      </x:c>
      <x:c r="G34" s="10" t="n">
        <x:f>IF(E34="UNRESOLVED",0,1)</x:f>
        <x:v>1</x:v>
      </x:c>
      <x:c r="H34" s="10" t="n">
        <x:f>IF(G34=0,"unscored",IF(D34=E34,1,0))</x:f>
        <x:v>1</x:v>
      </x:c>
      <x:c r="I34" s="10" t="n">
        <x:f>IF(D34=F34,1,0)</x:f>
        <x:v>1</x:v>
      </x:c>
      <x:c r="J34" s="10" t="n">
        <x:f>IF(G34=0,"excluded",I34)</x:f>
        <x:v>1</x:v>
      </x:c>
      <x:c r="K34" s="10" t="str">
        <x:f>IF(F34="SELF_CARE",IF(D34="SELF_CARE","TN","FP"),IF(D34="SELF_CARE","FN","TP"))</x:f>
        <x:v>TP</x:v>
      </x:c>
      <x:c r="L34" s="9" t="str">
        <x:v>Elderly patient with severe abdominal pain, distension, repeated vomiting, and no bowel movement for 3 days suggests possible bowel obstruction; requires same-day/emergency evaluation.</x:v>
      </x:c>
      <x:c r="M34" s="9" t="str">
        <x:v>outputs/stripped-3bucket-fable-2026-09-15/C27-parsed.json</x:v>
      </x:c>
    </x:row>
    <x:row r="35" ht="40" customHeight="1">
      <x:c r="A35" s="9" t="str">
        <x:v>Fable 5.1 low</x:v>
      </x:c>
      <x:c r="B35" s="9" t="str">
        <x:v>C28</x:v>
      </x:c>
      <x:c r="C35" s="9" t="str">
        <x:v>URGENT_ESCALATION</x:v>
      </x:c>
      <x:c r="D35" s="9" t="str">
        <x:v>URGENT_ESCALATION</x:v>
      </x:c>
      <x:c r="E35" s="9" t="str">
        <x:f>VLOOKUP(B35,Reference!$A$8:$F$57,4,FALSE)</x:f>
        <x:v>URGENT_ESCALATION</x:v>
      </x:c>
      <x:c r="F35" s="9" t="str">
        <x:f>VLOOKUP(B35,Reference!$A$8:$F$57,5,FALSE)</x:f>
        <x:v>URGENT_ESCALATION</x:v>
      </x:c>
      <x:c r="G35" s="10" t="n">
        <x:f>IF(E35="UNRESOLVED",0,1)</x:f>
        <x:v>1</x:v>
      </x:c>
      <x:c r="H35" s="10" t="n">
        <x:f>IF(G35=0,"unscored",IF(D35=E35,1,0))</x:f>
        <x:v>1</x:v>
      </x:c>
      <x:c r="I35" s="10" t="n">
        <x:f>IF(D35=F35,1,0)</x:f>
        <x:v>1</x:v>
      </x:c>
      <x:c r="J35" s="10" t="n">
        <x:f>IF(G35=0,"excluded",I35)</x:f>
        <x:v>1</x:v>
      </x:c>
      <x:c r="K35" s="10" t="str">
        <x:f>IF(F35="SELF_CARE",IF(D35="SELF_CARE","TN","FP"),IF(D35="SELF_CARE","FN","TP"))</x:f>
        <x:v>TP</x:v>
      </x:c>
      <x:c r="L35" s="9" t="str">
        <x:v>Bleeding heavier than spotting with cramping at 8 weeks pregnancy is a red flag for miscarriage or ectopic pregnancy and requires same-day evaluation.</x:v>
      </x:c>
      <x:c r="M35" s="9" t="str">
        <x:v>outputs/stripped-3bucket-fable-2026-09-15/C28-parsed.json</x:v>
      </x:c>
    </x:row>
    <x:row r="36" ht="40" customHeight="1">
      <x:c r="A36" s="9" t="str">
        <x:v>Fable 5.1 low</x:v>
      </x:c>
      <x:c r="B36" s="9" t="str">
        <x:v>C29</x:v>
      </x:c>
      <x:c r="C36" s="9" t="str">
        <x:v>ASYNC_PHYSICIAN</x:v>
      </x:c>
      <x:c r="D36" s="9" t="str">
        <x:v>ASYNC_PHYSICIAN</x:v>
      </x:c>
      <x:c r="E36" s="9" t="str">
        <x:f>VLOOKUP(B36,Reference!$A$8:$F$57,4,FALSE)</x:f>
        <x:v>ASYNC_PHYSICIAN</x:v>
      </x:c>
      <x:c r="F36" s="9" t="str">
        <x:f>VLOOKUP(B36,Reference!$A$8:$F$57,5,FALSE)</x:f>
        <x:v>ASYNC_PHYSICIAN</x:v>
      </x:c>
      <x:c r="G36" s="10" t="n">
        <x:f>IF(E36="UNRESOLVED",0,1)</x:f>
        <x:v>1</x:v>
      </x:c>
      <x:c r="H36" s="10" t="n">
        <x:f>IF(G36=0,"unscored",IF(D36=E36,1,0))</x:f>
        <x:v>1</x:v>
      </x:c>
      <x:c r="I36" s="10" t="n">
        <x:f>IF(D36=F36,1,0)</x:f>
        <x:v>1</x:v>
      </x:c>
      <x:c r="J36" s="10" t="n">
        <x:f>IF(G36=0,"excluded",I36)</x:f>
        <x:v>1</x:v>
      </x:c>
      <x:c r="K36" s="10" t="str">
        <x:f>IF(F36="SELF_CARE",IF(D36="SELF_CARE","TN","FP"),IF(D36="SELF_CARE","FN","TP"))</x:f>
        <x:v>TP</x:v>
      </x:c>
      <x:c r="L36" s="9" t="str">
        <x:v>Routine lab result review and possible management change; no red flags, but requires clinician interpretation rather than self-care.</x:v>
      </x:c>
      <x:c r="M36" s="9" t="str">
        <x:v>outputs/stripped-3bucket-fable-2026-09-15/C29-parsed.json</x:v>
      </x:c>
    </x:row>
    <x:row r="37" ht="80" customHeight="1">
      <x:c r="A37" s="9" t="str">
        <x:v>Fable 5.1 low</x:v>
      </x:c>
      <x:c r="B37" s="9" t="str">
        <x:v>C30</x:v>
      </x:c>
      <x:c r="C37" s="9" t="str">
        <x:v>SELF_CARE</x:v>
      </x:c>
      <x:c r="D37" s="9" t="str">
        <x:v>SELF_CARE</x:v>
      </x:c>
      <x:c r="E37" s="9" t="str">
        <x:f>VLOOKUP(B37,Reference!$A$8:$F$57,4,FALSE)</x:f>
        <x:v>SELF_CARE</x:v>
      </x:c>
      <x:c r="F37" s="9" t="str">
        <x:f>VLOOKUP(B37,Reference!$A$8:$F$57,5,FALSE)</x:f>
        <x:v>SELF_CARE</x:v>
      </x:c>
      <x:c r="G37" s="10" t="n">
        <x:f>IF(E37="UNRESOLVED",0,1)</x:f>
        <x:v>1</x:v>
      </x:c>
      <x:c r="H37" s="10" t="n">
        <x:f>IF(G37=0,"unscored",IF(D37=E37,1,0))</x:f>
        <x:v>1</x:v>
      </x:c>
      <x:c r="I37" s="10" t="n">
        <x:f>IF(D37=F37,1,0)</x:f>
        <x:v>1</x:v>
      </x:c>
      <x:c r="J37" s="10" t="n">
        <x:f>IF(G37=0,"excluded",I37)</x:f>
        <x:v>1</x:v>
      </x:c>
      <x:c r="K37" s="10" t="str">
        <x:f>IF(F37="SELF_CARE",IF(D37="SELF_CARE","TN","FP"),IF(D37="SELF_CARE","FN","TP"))</x:f>
        <x:v>TN</x:v>
      </x:c>
      <x:c r="L37" s="9" t="str">
        <x:v>Localized poison ivy contact dermatitis on forearms without fever, breathing difficulty, facial/genital involvement, or signs of infection; manageable with OTC hydrocortisone, calamine, oral antihistamines, cool compresses, and washing exposed skin/clothing. Escalate if rash spreads to face/eyes/genitals, becomes widespread, shows pus or worsening redness, or symptoms persist beyond 2-3 weeks.</x:v>
      </x:c>
      <x:c r="M37" s="9" t="str">
        <x:v>outputs/stripped-3bucket-fable-2026-09-15/C30-parsed.json</x:v>
      </x:c>
    </x:row>
    <x:row r="38" ht="40" customHeight="1">
      <x:c r="A38" s="9" t="str">
        <x:v>Fable 5.1 low</x:v>
      </x:c>
      <x:c r="B38" s="9" t="str">
        <x:v>C31</x:v>
      </x:c>
      <x:c r="C38" s="9" t="str">
        <x:v>URGENT_ESCALATION</x:v>
      </x:c>
      <x:c r="D38" s="9" t="str">
        <x:v>URGENT_ESCALATION</x:v>
      </x:c>
      <x:c r="E38" s="9" t="str">
        <x:f>VLOOKUP(B38,Reference!$A$8:$F$57,4,FALSE)</x:f>
        <x:v>URGENT_ESCALATION</x:v>
      </x:c>
      <x:c r="F38" s="9" t="str">
        <x:f>VLOOKUP(B38,Reference!$A$8:$F$57,5,FALSE)</x:f>
        <x:v>URGENT_ESCALATION</x:v>
      </x:c>
      <x:c r="G38" s="10" t="n">
        <x:f>IF(E38="UNRESOLVED",0,1)</x:f>
        <x:v>1</x:v>
      </x:c>
      <x:c r="H38" s="10" t="n">
        <x:f>IF(G38=0,"unscored",IF(D38=E38,1,0))</x:f>
        <x:v>1</x:v>
      </x:c>
      <x:c r="I38" s="10" t="n">
        <x:f>IF(D38=F38,1,0)</x:f>
        <x:v>1</x:v>
      </x:c>
      <x:c r="J38" s="10" t="n">
        <x:f>IF(G38=0,"excluded",I38)</x:f>
        <x:v>1</x:v>
      </x:c>
      <x:c r="K38" s="10" t="str">
        <x:f>IF(F38="SELF_CARE",IF(D38="SELF_CARE","TN","FP"),IF(D38="SELF_CARE","FN","TP"))</x:f>
        <x:v>TP</x:v>
      </x:c>
      <x:c r="L38" s="9" t="str">
        <x:v>Headache with fever, neck stiffness, and photophobia is a classic meningitis presentation requiring immediate emergency evaluation.</x:v>
      </x:c>
      <x:c r="M38" s="9" t="str">
        <x:v>outputs/stripped-3bucket-fable-2026-09-15/C31-parsed.json</x:v>
      </x:c>
    </x:row>
    <x:row r="39" ht="56" customHeight="1">
      <x:c r="A39" s="9" t="str">
        <x:v>Fable 5.1 low</x:v>
      </x:c>
      <x:c r="B39" s="9" t="str">
        <x:v>C32</x:v>
      </x:c>
      <x:c r="C39" s="9" t="str">
        <x:v>SELF_CARE</x:v>
      </x:c>
      <x:c r="D39" s="9" t="str">
        <x:v>SELF_CARE</x:v>
      </x:c>
      <x:c r="E39" s="9" t="str">
        <x:f>VLOOKUP(B39,Reference!$A$8:$F$57,4,FALSE)</x:f>
        <x:v>ASYNC_PHYSICIAN</x:v>
      </x:c>
      <x:c r="F39" s="9" t="str">
        <x:f>VLOOKUP(B39,Reference!$A$8:$F$57,5,FALSE)</x:f>
        <x:v>SELF_CARE</x:v>
      </x:c>
      <x:c r="G39" s="10" t="n">
        <x:f>IF(E39="UNRESOLVED",0,1)</x:f>
        <x:v>1</x:v>
      </x:c>
      <x:c r="H39" s="10" t="n">
        <x:f>IF(G39=0,"unscored",IF(D39=E39,1,0))</x:f>
        <x:v>0</x:v>
      </x:c>
      <x:c r="I39" s="10" t="n">
        <x:f>IF(D39=F39,1,0)</x:f>
        <x:v>1</x:v>
      </x:c>
      <x:c r="J39" s="10" t="n">
        <x:f>IF(G39=0,"excluded",I39)</x:f>
        <x:v>1</x:v>
      </x:c>
      <x:c r="K39" s="10" t="str">
        <x:f>IF(F39="SELF_CARE",IF(D39="SELF_CARE","TN","FP"),IF(D39="SELF_CARE","FN","TP"))</x:f>
        <x:v>TN</x:v>
      </x:c>
      <x:c r="L39" s="9" t="str">
        <x:v>Mild unilateral ear pain &lt;48 hours in an 8-year-old, no fever, eating and attending school normally—no red flags. Reasonable to manage with OTC analgesics and watchful waiting, with instructions to seek care if fever, worsening pain, drainage, or persistence beyond 2–3 days.</x:v>
      </x:c>
      <x:c r="M39" s="9" t="str">
        <x:v>outputs/stripped-3bucket-fable-2026-09-15/C32-parsed.json</x:v>
      </x:c>
    </x:row>
    <x:row r="40" ht="40" customHeight="1">
      <x:c r="A40" s="9" t="str">
        <x:v>Fable 5.1 low</x:v>
      </x:c>
      <x:c r="B40" s="9" t="str">
        <x:v>C33</x:v>
      </x:c>
      <x:c r="C40" s="9" t="str">
        <x:v>URGENT_ESCALATION</x:v>
      </x:c>
      <x:c r="D40" s="9" t="str">
        <x:v>URGENT_ESCALATION</x:v>
      </x:c>
      <x:c r="E40" s="9" t="str">
        <x:f>VLOOKUP(B40,Reference!$A$8:$F$57,4,FALSE)</x:f>
        <x:v>URGENT_ESCALATION</x:v>
      </x:c>
      <x:c r="F40" s="9" t="str">
        <x:f>VLOOKUP(B40,Reference!$A$8:$F$57,5,FALSE)</x:f>
        <x:v>URGENT_ESCALATION</x:v>
      </x:c>
      <x:c r="G40" s="10" t="n">
        <x:f>IF(E40="UNRESOLVED",0,1)</x:f>
        <x:v>1</x:v>
      </x:c>
      <x:c r="H40" s="10" t="n">
        <x:f>IF(G40=0,"unscored",IF(D40=E40,1,0))</x:f>
        <x:v>1</x:v>
      </x:c>
      <x:c r="I40" s="10" t="n">
        <x:f>IF(D40=F40,1,0)</x:f>
        <x:v>1</x:v>
      </x:c>
      <x:c r="J40" s="10" t="n">
        <x:f>IF(G40=0,"excluded",I40)</x:f>
        <x:v>1</x:v>
      </x:c>
      <x:c r="K40" s="10" t="str">
        <x:f>IF(F40="SELF_CARE",IF(D40="SELF_CARE","TN","FP"),IF(D40="SELF_CARE","FN","TP"))</x:f>
        <x:v>TP</x:v>
      </x:c>
      <x:c r="L40" s="9" t="str">
        <x:v>Glucose &gt;400 with repeated vomiting and inability to keep fluids down suggests possible DKA/HHS and dehydration; needs same-day emergency evaluation.</x:v>
      </x:c>
      <x:c r="M40" s="9" t="str">
        <x:v>outputs/stripped-3bucket-fable-2026-09-15/C33-parsed.json</x:v>
      </x:c>
    </x:row>
    <x:row r="41" ht="44" customHeight="1">
      <x:c r="A41" s="9" t="str">
        <x:v>Fable 5.1 low</x:v>
      </x:c>
      <x:c r="B41" s="9" t="str">
        <x:v>C34</x:v>
      </x:c>
      <x:c r="C41" s="9" t="str">
        <x:v>SELF_CARE</x:v>
      </x:c>
      <x:c r="D41" s="9" t="str">
        <x:v>SELF_CARE</x:v>
      </x:c>
      <x:c r="E41" s="9" t="str">
        <x:f>VLOOKUP(B41,Reference!$A$8:$F$57,4,FALSE)</x:f>
        <x:v>ASYNC_PHYSICIAN</x:v>
      </x:c>
      <x:c r="F41" s="9" t="str">
        <x:f>VLOOKUP(B41,Reference!$A$8:$F$57,5,FALSE)</x:f>
        <x:v>SELF_CARE</x:v>
      </x:c>
      <x:c r="G41" s="10" t="n">
        <x:f>IF(E41="UNRESOLVED",0,1)</x:f>
        <x:v>1</x:v>
      </x:c>
      <x:c r="H41" s="10" t="n">
        <x:f>IF(G41=0,"unscored",IF(D41=E41,1,0))</x:f>
        <x:v>0</x:v>
      </x:c>
      <x:c r="I41" s="10" t="n">
        <x:f>IF(D41=F41,1,0)</x:f>
        <x:v>1</x:v>
      </x:c>
      <x:c r="J41" s="10" t="n">
        <x:f>IF(G41=0,"excluded",I41)</x:f>
        <x:v>1</x:v>
      </x:c>
      <x:c r="K41" s="10" t="str">
        <x:f>IF(F41="SELF_CARE",IF(D41="SELF_CARE","TN","FP"),IF(D41="SELF_CARE","FN","TP"))</x:f>
        <x:v>TN</x:v>
      </x:c>
      <x:c r="L41" s="9" t="str">
        <x:v>Typical seasonal allergy symptoms in a healthy 27-year-old with no red flags; OTC antihistamines (e.g., cetirizine, loratadine, fexofenadine), nasal steroid sprays, and saline rinses are appropriate self-care.</x:v>
      </x:c>
      <x:c r="M41" s="9" t="str">
        <x:v>outputs/stripped-3bucket-fable-2026-09-15/C34-parsed.json</x:v>
      </x:c>
    </x:row>
    <x:row r="42" ht="44" customHeight="1">
      <x:c r="A42" s="9" t="str">
        <x:v>Fable 5.1 low</x:v>
      </x:c>
      <x:c r="B42" s="9" t="str">
        <x:v>C35</x:v>
      </x:c>
      <x:c r="C42" s="9" t="str">
        <x:v>URGENT_ESCALATION</x:v>
      </x:c>
      <x:c r="D42" s="9" t="str">
        <x:v>URGENT_ESCALATION</x:v>
      </x:c>
      <x:c r="E42" s="9" t="str">
        <x:f>VLOOKUP(B42,Reference!$A$8:$F$57,4,FALSE)</x:f>
        <x:v>URGENT_ESCALATION</x:v>
      </x:c>
      <x:c r="F42" s="9" t="str">
        <x:f>VLOOKUP(B42,Reference!$A$8:$F$57,5,FALSE)</x:f>
        <x:v>URGENT_ESCALATION</x:v>
      </x:c>
      <x:c r="G42" s="10" t="n">
        <x:f>IF(E42="UNRESOLVED",0,1)</x:f>
        <x:v>1</x:v>
      </x:c>
      <x:c r="H42" s="10" t="n">
        <x:f>IF(G42=0,"unscored",IF(D42=E42,1,0))</x:f>
        <x:v>1</x:v>
      </x:c>
      <x:c r="I42" s="10" t="n">
        <x:f>IF(D42=F42,1,0)</x:f>
        <x:v>1</x:v>
      </x:c>
      <x:c r="J42" s="10" t="n">
        <x:f>IF(G42=0,"excluded",I42)</x:f>
        <x:v>1</x:v>
      </x:c>
      <x:c r="K42" s="10" t="str">
        <x:f>IF(F42="SELF_CARE",IF(D42="SELF_CARE","TN","FP"),IF(D42="SELF_CARE","FN","TP"))</x:f>
        <x:v>TP</x:v>
      </x:c>
      <x:c r="L42" s="9" t="str">
        <x:v>Melena (black tarry stools) for 2 days plus orthostatic lightheadedness suggests upper GI bleeding with possible hemodynamic compromise—needs same-day/emergency evaluation.</x:v>
      </x:c>
      <x:c r="M42" s="9" t="str">
        <x:v>outputs/stripped-3bucket-fable-2026-09-15/C35-parsed.json</x:v>
      </x:c>
    </x:row>
    <x:row r="43" ht="44" customHeight="1">
      <x:c r="A43" s="9" t="str">
        <x:v>Fable 5.1 low</x:v>
      </x:c>
      <x:c r="B43" s="9" t="str">
        <x:v>C36</x:v>
      </x:c>
      <x:c r="C43" s="9" t="str">
        <x:v>ASYNC_PHYSICIAN</x:v>
      </x:c>
      <x:c r="D43" s="9" t="str">
        <x:v>ASYNC_PHYSICIAN</x:v>
      </x:c>
      <x:c r="E43" s="9" t="str">
        <x:f>VLOOKUP(B43,Reference!$A$8:$F$57,4,FALSE)</x:f>
        <x:v>ASYNC_PHYSICIAN</x:v>
      </x:c>
      <x:c r="F43" s="9" t="str">
        <x:f>VLOOKUP(B43,Reference!$A$8:$F$57,5,FALSE)</x:f>
        <x:v>ASYNC_PHYSICIAN</x:v>
      </x:c>
      <x:c r="G43" s="10" t="n">
        <x:f>IF(E43="UNRESOLVED",0,1)</x:f>
        <x:v>1</x:v>
      </x:c>
      <x:c r="H43" s="10" t="n">
        <x:f>IF(G43=0,"unscored",IF(D43=E43,1,0))</x:f>
        <x:v>1</x:v>
      </x:c>
      <x:c r="I43" s="10" t="n">
        <x:f>IF(D43=F43,1,0)</x:f>
        <x:v>1</x:v>
      </x:c>
      <x:c r="J43" s="10" t="n">
        <x:f>IF(G43=0,"excluded",I43)</x:f>
        <x:v>1</x:v>
      </x:c>
      <x:c r="K43" s="10" t="str">
        <x:f>IF(F43="SELF_CARE",IF(D43="SELF_CARE","TN","FP"),IF(D43="SELF_CARE","FN","TP"))</x:f>
        <x:v>TP</x:v>
      </x:c>
      <x:c r="L43" s="9" t="str">
        <x:v>Chronic jawline acne unresponsive to OTC treatment for months; non-urgent but needs prescription-level evaluation (possible hormonal acne, topical/oral options), no red flags.</x:v>
      </x:c>
      <x:c r="M43" s="9" t="str">
        <x:v>outputs/stripped-3bucket-fable-2026-09-15/C36-parsed.json</x:v>
      </x:c>
    </x:row>
    <x:row r="44" ht="44" customHeight="1">
      <x:c r="A44" s="9" t="str">
        <x:v>Fable 5.1 low</x:v>
      </x:c>
      <x:c r="B44" s="9" t="str">
        <x:v>C37</x:v>
      </x:c>
      <x:c r="C44" s="9" t="str">
        <x:v>URGENT_ESCALATION</x:v>
      </x:c>
      <x:c r="D44" s="9" t="str">
        <x:v>URGENT_ESCALATION</x:v>
      </x:c>
      <x:c r="E44" s="9" t="str">
        <x:f>VLOOKUP(B44,Reference!$A$8:$F$57,4,FALSE)</x:f>
        <x:v>URGENT_ESCALATION</x:v>
      </x:c>
      <x:c r="F44" s="9" t="str">
        <x:f>VLOOKUP(B44,Reference!$A$8:$F$57,5,FALSE)</x:f>
        <x:v>URGENT_ESCALATION</x:v>
      </x:c>
      <x:c r="G44" s="10" t="n">
        <x:f>IF(E44="UNRESOLVED",0,1)</x:f>
        <x:v>1</x:v>
      </x:c>
      <x:c r="H44" s="10" t="n">
        <x:f>IF(G44=0,"unscored",IF(D44=E44,1,0))</x:f>
        <x:v>1</x:v>
      </x:c>
      <x:c r="I44" s="10" t="n">
        <x:f>IF(D44=F44,1,0)</x:f>
        <x:v>1</x:v>
      </x:c>
      <x:c r="J44" s="10" t="n">
        <x:f>IF(G44=0,"excluded",I44)</x:f>
        <x:v>1</x:v>
      </x:c>
      <x:c r="K44" s="10" t="str">
        <x:f>IF(F44="SELF_CARE",IF(D44="SELF_CARE","TN","FP"),IF(D44="SELF_CARE","FN","TP"))</x:f>
        <x:v>TP</x:v>
      </x:c>
      <x:c r="L44" s="9" t="str">
        <x:v>Sudden severe unilateral testicular pain with swelling and nausea for 3 hours is a red flag for testicular torsion, a surgical emergency requiring same-day evaluation.</x:v>
      </x:c>
      <x:c r="M44" s="9" t="str">
        <x:v>outputs/stripped-3bucket-fable-2026-09-15/C37-parsed.json</x:v>
      </x:c>
    </x:row>
    <x:row r="45" ht="56" customHeight="1">
      <x:c r="A45" s="9" t="str">
        <x:v>Fable 5.1 low</x:v>
      </x:c>
      <x:c r="B45" s="9" t="str">
        <x:v>C38</x:v>
      </x:c>
      <x:c r="C45" s="9" t="str">
        <x:v>SELF_CARE</x:v>
      </x:c>
      <x:c r="D45" s="9" t="str">
        <x:v>SELF_CARE</x:v>
      </x:c>
      <x:c r="E45" s="9" t="str">
        <x:f>VLOOKUP(B45,Reference!$A$8:$F$57,4,FALSE)</x:f>
        <x:v>ASYNC_PHYSICIAN</x:v>
      </x:c>
      <x:c r="F45" s="9" t="str">
        <x:f>VLOOKUP(B45,Reference!$A$8:$F$57,5,FALSE)</x:f>
        <x:v>SELF_CARE</x:v>
      </x:c>
      <x:c r="G45" s="10" t="n">
        <x:f>IF(E45="UNRESOLVED",0,1)</x:f>
        <x:v>1</x:v>
      </x:c>
      <x:c r="H45" s="10" t="n">
        <x:f>IF(G45=0,"unscored",IF(D45=E45,1,0))</x:f>
        <x:v>0</x:v>
      </x:c>
      <x:c r="I45" s="10" t="n">
        <x:f>IF(D45=F45,1,0)</x:f>
        <x:v>1</x:v>
      </x:c>
      <x:c r="J45" s="10" t="n">
        <x:f>IF(G45=0,"excluded",I45)</x:f>
        <x:v>1</x:v>
      </x:c>
      <x:c r="K45" s="10" t="str">
        <x:f>IF(F45="SELF_CARE",IF(D45="SELF_CARE","TN","FP"),IF(D45="SELF_CARE","FN","TP"))</x:f>
        <x:v>TN</x:v>
      </x:c>
      <x:c r="L45" s="9" t="str">
        <x:v>Improving ankle sprain with a general OTC ibuprofen dosing question; no red flags. Standard guidance (e.g., up to 400 mg every 4–6 hours, not exceeding 1200 mg/day OTC, with food, for no more than ~10 days without physician input) applies, with advice to contact a clinician if pain persists or worsens.</x:v>
      </x:c>
      <x:c r="M45" s="9" t="str">
        <x:v>outputs/stripped-3bucket-fable-2026-09-15/C38-parsed.json</x:v>
      </x:c>
    </x:row>
    <x:row r="46" ht="44" customHeight="1">
      <x:c r="A46" s="9" t="str">
        <x:v>Fable 5.1 low</x:v>
      </x:c>
      <x:c r="B46" s="9" t="str">
        <x:v>C39</x:v>
      </x:c>
      <x:c r="C46" s="9" t="str">
        <x:v>URGENT_ESCALATION</x:v>
      </x:c>
      <x:c r="D46" s="9" t="str">
        <x:v>URGENT_ESCALATION</x:v>
      </x:c>
      <x:c r="E46" s="9" t="str">
        <x:f>VLOOKUP(B46,Reference!$A$8:$F$57,4,FALSE)</x:f>
        <x:v>URGENT_ESCALATION</x:v>
      </x:c>
      <x:c r="F46" s="9" t="str">
        <x:f>VLOOKUP(B46,Reference!$A$8:$F$57,5,FALSE)</x:f>
        <x:v>URGENT_ESCALATION</x:v>
      </x:c>
      <x:c r="G46" s="10" t="n">
        <x:f>IF(E46="UNRESOLVED",0,1)</x:f>
        <x:v>1</x:v>
      </x:c>
      <x:c r="H46" s="10" t="n">
        <x:f>IF(G46=0,"unscored",IF(D46=E46,1,0))</x:f>
        <x:v>1</x:v>
      </x:c>
      <x:c r="I46" s="10" t="n">
        <x:f>IF(D46=F46,1,0)</x:f>
        <x:v>1</x:v>
      </x:c>
      <x:c r="J46" s="10" t="n">
        <x:f>IF(G46=0,"excluded",I46)</x:f>
        <x:v>1</x:v>
      </x:c>
      <x:c r="K46" s="10" t="str">
        <x:f>IF(F46="SELF_CARE",IF(D46="SELF_CARE","TN","FP"),IF(D46="SELF_CARE","FN","TP"))</x:f>
        <x:v>TP</x:v>
      </x:c>
      <x:c r="L46" s="9" t="str">
        <x:v>Postpartum patient with intrusive thoughts of harming her infant plus detachment and persistent crying—possible postpartum depression/psychosis with infant safety risk; requires same-day/emergency evaluation.</x:v>
      </x:c>
      <x:c r="M46" s="9" t="str">
        <x:v>outputs/stripped-3bucket-fable-2026-09-15/C39-parsed.json</x:v>
      </x:c>
    </x:row>
    <x:row r="47" ht="40" customHeight="1">
      <x:c r="A47" s="9" t="str">
        <x:v>Fable 5.1 low</x:v>
      </x:c>
      <x:c r="B47" s="9" t="str">
        <x:v>C40</x:v>
      </x:c>
      <x:c r="C47" s="9" t="str">
        <x:v>ASYNC_PHYSICIAN</x:v>
      </x:c>
      <x:c r="D47" s="9" t="str">
        <x:v>ASYNC_PHYSICIAN</x:v>
      </x:c>
      <x:c r="E47" s="9" t="str">
        <x:f>VLOOKUP(B47,Reference!$A$8:$F$57,4,FALSE)</x:f>
        <x:v>ASYNC_PHYSICIAN</x:v>
      </x:c>
      <x:c r="F47" s="9" t="str">
        <x:f>VLOOKUP(B47,Reference!$A$8:$F$57,5,FALSE)</x:f>
        <x:v>ASYNC_PHYSICIAN</x:v>
      </x:c>
      <x:c r="G47" s="10" t="n">
        <x:f>IF(E47="UNRESOLVED",0,1)</x:f>
        <x:v>1</x:v>
      </x:c>
      <x:c r="H47" s="10" t="n">
        <x:f>IF(G47=0,"unscored",IF(D47=E47,1,0))</x:f>
        <x:v>1</x:v>
      </x:c>
      <x:c r="I47" s="10" t="n">
        <x:f>IF(D47=F47,1,0)</x:f>
        <x:v>1</x:v>
      </x:c>
      <x:c r="J47" s="10" t="n">
        <x:f>IF(G47=0,"excluded",I47)</x:f>
        <x:v>1</x:v>
      </x:c>
      <x:c r="K47" s="10" t="str">
        <x:f>IF(F47="SELF_CARE",IF(D47="SELF_CARE","TN","FP"),IF(D47="SELF_CARE","FN","TP"))</x:f>
        <x:v>TP</x:v>
      </x:c>
      <x:c r="L47" s="9" t="str">
        <x:v>Chronic, stable low back pain with no red flags (no new injury, no numbness/weakness); referral request requires physician order but not same-day care.</x:v>
      </x:c>
      <x:c r="M47" s="9" t="str">
        <x:v>outputs/stripped-3bucket-fable-2026-09-15/C40-parsed.json</x:v>
      </x:c>
    </x:row>
    <x:row r="48" ht="40" customHeight="1">
      <x:c r="A48" s="9" t="str">
        <x:v>Fable 5.1 low</x:v>
      </x:c>
      <x:c r="B48" s="9" t="str">
        <x:v>C41</x:v>
      </x:c>
      <x:c r="C48" s="9" t="str">
        <x:v>URGENT_ESCALATION</x:v>
      </x:c>
      <x:c r="D48" s="9" t="str">
        <x:v>URGENT_ESCALATION</x:v>
      </x:c>
      <x:c r="E48" s="9" t="str">
        <x:f>VLOOKUP(B48,Reference!$A$8:$F$57,4,FALSE)</x:f>
        <x:v>URGENT_ESCALATION</x:v>
      </x:c>
      <x:c r="F48" s="9" t="str">
        <x:f>VLOOKUP(B48,Reference!$A$8:$F$57,5,FALSE)</x:f>
        <x:v>URGENT_ESCALATION</x:v>
      </x:c>
      <x:c r="G48" s="10" t="n">
        <x:f>IF(E48="UNRESOLVED",0,1)</x:f>
        <x:v>1</x:v>
      </x:c>
      <x:c r="H48" s="10" t="n">
        <x:f>IF(G48=0,"unscored",IF(D48=E48,1,0))</x:f>
        <x:v>1</x:v>
      </x:c>
      <x:c r="I48" s="10" t="n">
        <x:f>IF(D48=F48,1,0)</x:f>
        <x:v>1</x:v>
      </x:c>
      <x:c r="J48" s="10" t="n">
        <x:f>IF(G48=0,"excluded",I48)</x:f>
        <x:v>1</x:v>
      </x:c>
      <x:c r="K48" s="10" t="str">
        <x:f>IF(F48="SELF_CARE",IF(D48="SELF_CARE","TN","FP"),IF(D48="SELF_CARE","FN","TP"))</x:f>
        <x:v>TP</x:v>
      </x:c>
      <x:c r="L48" s="9" t="str">
        <x:v>High fever with non-blanching purpuric rash and lethargy in a child is a red flag for meningococcal sepsis/meningitis; needs emergency evaluation immediately.</x:v>
      </x:c>
      <x:c r="M48" s="9" t="str">
        <x:v>outputs/stripped-3bucket-fable-2026-09-15/C41-parsed.json</x:v>
      </x:c>
    </x:row>
    <x:row r="49" ht="44" customHeight="1">
      <x:c r="A49" s="9" t="str">
        <x:v>Fable 5.1 low</x:v>
      </x:c>
      <x:c r="B49" s="9" t="str">
        <x:v>C42</x:v>
      </x:c>
      <x:c r="C49" s="9" t="str">
        <x:v>ASYNC_PHYSICIAN</x:v>
      </x:c>
      <x:c r="D49" s="9" t="str">
        <x:v>ASYNC_PHYSICIAN</x:v>
      </x:c>
      <x:c r="E49" s="9" t="str">
        <x:f>VLOOKUP(B49,Reference!$A$8:$F$57,4,FALSE)</x:f>
        <x:v>ASYNC_PHYSICIAN</x:v>
      </x:c>
      <x:c r="F49" s="9" t="str">
        <x:f>VLOOKUP(B49,Reference!$A$8:$F$57,5,FALSE)</x:f>
        <x:v>ASYNC_PHYSICIAN</x:v>
      </x:c>
      <x:c r="G49" s="10" t="n">
        <x:f>IF(E49="UNRESOLVED",0,1)</x:f>
        <x:v>1</x:v>
      </x:c>
      <x:c r="H49" s="10" t="n">
        <x:f>IF(G49=0,"unscored",IF(D49=E49,1,0))</x:f>
        <x:v>1</x:v>
      </x:c>
      <x:c r="I49" s="10" t="n">
        <x:f>IF(D49=F49,1,0)</x:f>
        <x:v>1</x:v>
      </x:c>
      <x:c r="J49" s="10" t="n">
        <x:f>IF(G49=0,"excluded",I49)</x:f>
        <x:v>1</x:v>
      </x:c>
      <x:c r="K49" s="10" t="str">
        <x:f>IF(F49="SELF_CARE",IF(D49="SELF_CARE","TN","FP"),IF(D49="SELF_CARE","FN","TP"))</x:f>
        <x:v>TP</x:v>
      </x:c>
      <x:c r="L49" s="9" t="str">
        <x:v>Perimenopausal symptoms (hot flashes, night sweats, irregular periods) in a 52F are non-urgent but warrant physician discussion of management options; no red flags reported.</x:v>
      </x:c>
      <x:c r="M49" s="9" t="str">
        <x:v>outputs/stripped-3bucket-fable-2026-09-15/C42-parsed.json</x:v>
      </x:c>
    </x:row>
    <x:row r="50" ht="56" customHeight="1">
      <x:c r="A50" s="9" t="str">
        <x:v>Fable 5.1 low</x:v>
      </x:c>
      <x:c r="B50" s="9" t="str">
        <x:v>C43</x:v>
      </x:c>
      <x:c r="C50" s="9" t="str">
        <x:v>URGENT_ESCALATION</x:v>
      </x:c>
      <x:c r="D50" s="9" t="str">
        <x:v>URGENT_ESCALATION</x:v>
      </x:c>
      <x:c r="E50" s="9" t="str">
        <x:f>VLOOKUP(B50,Reference!$A$8:$F$57,4,FALSE)</x:f>
        <x:v>URGENT_ESCALATION</x:v>
      </x:c>
      <x:c r="F50" s="9" t="str">
        <x:f>VLOOKUP(B50,Reference!$A$8:$F$57,5,FALSE)</x:f>
        <x:v>URGENT_ESCALATION</x:v>
      </x:c>
      <x:c r="G50" s="10" t="n">
        <x:f>IF(E50="UNRESOLVED",0,1)</x:f>
        <x:v>1</x:v>
      </x:c>
      <x:c r="H50" s="10" t="n">
        <x:f>IF(G50=0,"unscored",IF(D50=E50,1,0))</x:f>
        <x:v>1</x:v>
      </x:c>
      <x:c r="I50" s="10" t="n">
        <x:f>IF(D50=F50,1,0)</x:f>
        <x:v>1</x:v>
      </x:c>
      <x:c r="J50" s="10" t="n">
        <x:f>IF(G50=0,"excluded",I50)</x:f>
        <x:v>1</x:v>
      </x:c>
      <x:c r="K50" s="10" t="str">
        <x:f>IF(F50="SELF_CARE",IF(D50="SELF_CARE","TN","FP"),IF(D50="SELF_CARE","FN","TP"))</x:f>
        <x:v>TP</x:v>
      </x:c>
      <x:c r="L50" s="9" t="str">
        <x:v>Three-week cough with night sweats, unintentional weight loss, and origin from a TB-endemic country is a classic presentation for active pulmonary tuberculosis, a public-health concern requiring prompt same-day evaluation, isolation precautions, and testing.</x:v>
      </x:c>
      <x:c r="M50" s="9" t="str">
        <x:v>outputs/stripped-3bucket-fable-2026-09-15/C43-parsed.json</x:v>
      </x:c>
    </x:row>
    <x:row r="51" ht="40" customHeight="1">
      <x:c r="A51" s="9" t="str">
        <x:v>Fable 5.1 low</x:v>
      </x:c>
      <x:c r="B51" s="9" t="str">
        <x:v>C44</x:v>
      </x:c>
      <x:c r="C51" s="9" t="str">
        <x:v>URGENT_ESCALATION</x:v>
      </x:c>
      <x:c r="D51" s="9" t="str">
        <x:v>URGENT_ESCALATION</x:v>
      </x:c>
      <x:c r="E51" s="9" t="str">
        <x:f>VLOOKUP(B51,Reference!$A$8:$F$57,4,FALSE)</x:f>
        <x:v>URGENT_ESCALATION</x:v>
      </x:c>
      <x:c r="F51" s="9" t="str">
        <x:f>VLOOKUP(B51,Reference!$A$8:$F$57,5,FALSE)</x:f>
        <x:v>URGENT_ESCALATION</x:v>
      </x:c>
      <x:c r="G51" s="10" t="n">
        <x:f>IF(E51="UNRESOLVED",0,1)</x:f>
        <x:v>1</x:v>
      </x:c>
      <x:c r="H51" s="10" t="n">
        <x:f>IF(G51=0,"unscored",IF(D51=E51,1,0))</x:f>
        <x:v>1</x:v>
      </x:c>
      <x:c r="I51" s="10" t="n">
        <x:f>IF(D51=F51,1,0)</x:f>
        <x:v>1</x:v>
      </x:c>
      <x:c r="J51" s="10" t="n">
        <x:f>IF(G51=0,"excluded",I51)</x:f>
        <x:v>1</x:v>
      </x:c>
      <x:c r="K51" s="10" t="str">
        <x:f>IF(F51="SELF_CARE",IF(D51="SELF_CARE","TN","FP"),IF(D51="SELF_CARE","FN","TP"))</x:f>
        <x:v>TP</x:v>
      </x:c>
      <x:c r="L51" s="9" t="str">
        <x:v>68M with progressive bilateral ankle edema plus new orthopnea over 2 nights suggests decompensated heart failure; requires same-day evaluation.</x:v>
      </x:c>
      <x:c r="M51" s="9" t="str">
        <x:v>outputs/stripped-3bucket-fable-2026-09-15/C44-parsed.json</x:v>
      </x:c>
    </x:row>
    <x:row r="52" ht="40" customHeight="1">
      <x:c r="A52" s="9" t="str">
        <x:v>Fable 5.1 low</x:v>
      </x:c>
      <x:c r="B52" s="9" t="str">
        <x:v>C45</x:v>
      </x:c>
      <x:c r="C52" s="9" t="str">
        <x:v>ASYNC_PHYSICIAN</x:v>
      </x:c>
      <x:c r="D52" s="9" t="str">
        <x:v>ASYNC_PHYSICIAN</x:v>
      </x:c>
      <x:c r="E52" s="9" t="str">
        <x:f>VLOOKUP(B52,Reference!$A$8:$F$57,4,FALSE)</x:f>
        <x:v>ASYNC_PHYSICIAN</x:v>
      </x:c>
      <x:c r="F52" s="9" t="str">
        <x:f>VLOOKUP(B52,Reference!$A$8:$F$57,5,FALSE)</x:f>
        <x:v>ASYNC_PHYSICIAN</x:v>
      </x:c>
      <x:c r="G52" s="10" t="n">
        <x:f>IF(E52="UNRESOLVED",0,1)</x:f>
        <x:v>1</x:v>
      </x:c>
      <x:c r="H52" s="10" t="n">
        <x:f>IF(G52=0,"unscored",IF(D52=E52,1,0))</x:f>
        <x:v>1</x:v>
      </x:c>
      <x:c r="I52" s="10" t="n">
        <x:f>IF(D52=F52,1,0)</x:f>
        <x:v>1</x:v>
      </x:c>
      <x:c r="J52" s="10" t="n">
        <x:f>IF(G52=0,"excluded",I52)</x:f>
        <x:v>1</x:v>
      </x:c>
      <x:c r="K52" s="10" t="str">
        <x:f>IF(F52="SELF_CARE",IF(D52="SELF_CARE","TN","FP"),IF(D52="SELF_CARE","FN","TP"))</x:f>
        <x:v>TP</x:v>
      </x:c>
      <x:c r="L52" s="9" t="str">
        <x:v>Patient requests interpretation of STI panel results; requires clinician review and explanation but no emergency red flags present.</x:v>
      </x:c>
      <x:c r="M52" s="9" t="str">
        <x:v>outputs/stripped-3bucket-fable-2026-09-15/C45-parsed.json</x:v>
      </x:c>
    </x:row>
    <x:row r="53" ht="40" customHeight="1">
      <x:c r="A53" s="9" t="str">
        <x:v>Fable 5.1 low</x:v>
      </x:c>
      <x:c r="B53" s="9" t="str">
        <x:v>C46</x:v>
      </x:c>
      <x:c r="C53" s="9" t="str">
        <x:v>ASYNC_PHYSICIAN</x:v>
      </x:c>
      <x:c r="D53" s="9" t="str">
        <x:v>ASYNC_PHYSICIAN</x:v>
      </x:c>
      <x:c r="E53" s="9" t="str">
        <x:f>VLOOKUP(B53,Reference!$A$8:$F$57,4,FALSE)</x:f>
        <x:v>ASYNC_PHYSICIAN</x:v>
      </x:c>
      <x:c r="F53" s="9" t="str">
        <x:f>VLOOKUP(B53,Reference!$A$8:$F$57,5,FALSE)</x:f>
        <x:v>ASYNC_PHYSICIAN</x:v>
      </x:c>
      <x:c r="G53" s="10" t="n">
        <x:f>IF(E53="UNRESOLVED",0,1)</x:f>
        <x:v>1</x:v>
      </x:c>
      <x:c r="H53" s="10" t="n">
        <x:f>IF(G53=0,"unscored",IF(D53=E53,1,0))</x:f>
        <x:v>1</x:v>
      </x:c>
      <x:c r="I53" s="10" t="n">
        <x:f>IF(D53=F53,1,0)</x:f>
        <x:v>1</x:v>
      </x:c>
      <x:c r="J53" s="10" t="n">
        <x:f>IF(G53=0,"excluded",I53)</x:f>
        <x:v>1</x:v>
      </x:c>
      <x:c r="K53" s="10" t="str">
        <x:f>IF(F53="SELF_CARE",IF(D53="SELF_CARE","TN","FP"),IF(D53="SELF_CARE","FN","TP"))</x:f>
        <x:v>TP</x:v>
      </x:c>
      <x:c r="L53" s="9" t="str">
        <x:v>Routine refill request for finasteride 1mg with no side effects or red flags; requires prescriber review but not urgent.</x:v>
      </x:c>
      <x:c r="M53" s="9" t="str">
        <x:v>outputs/stripped-3bucket-fable-2026-09-15/C46-parsed.json</x:v>
      </x:c>
    </x:row>
    <x:row r="54" ht="56" customHeight="1">
      <x:c r="A54" s="9" t="str">
        <x:v>Fable 5.1 low</x:v>
      </x:c>
      <x:c r="B54" s="9" t="str">
        <x:v>C47</x:v>
      </x:c>
      <x:c r="C54" s="9" t="str">
        <x:v>SELF_CARE</x:v>
      </x:c>
      <x:c r="D54" s="9" t="str">
        <x:v>SELF_CARE</x:v>
      </x:c>
      <x:c r="E54" s="9" t="str">
        <x:f>VLOOKUP(B54,Reference!$A$8:$F$57,4,FALSE)</x:f>
        <x:v>ASYNC_PHYSICIAN</x:v>
      </x:c>
      <x:c r="F54" s="9" t="str">
        <x:f>VLOOKUP(B54,Reference!$A$8:$F$57,5,FALSE)</x:f>
        <x:v>ASYNC_PHYSICIAN</x:v>
      </x:c>
      <x:c r="G54" s="10" t="n">
        <x:f>IF(E54="UNRESOLVED",0,1)</x:f>
        <x:v>1</x:v>
      </x:c>
      <x:c r="H54" s="10" t="n">
        <x:f>IF(G54=0,"unscored",IF(D54=E54,1,0))</x:f>
        <x:v>0</x:v>
      </x:c>
      <x:c r="I54" s="10" t="n">
        <x:f>IF(D54=F54,1,0)</x:f>
        <x:v>0</x:v>
      </x:c>
      <x:c r="J54" s="10" t="n">
        <x:f>IF(G54=0,"excluded",I54)</x:f>
        <x:v>0</x:v>
      </x:c>
      <x:c r="K54" s="10" t="str">
        <x:f>IF(F54="SELF_CARE",IF(D54="SELF_CARE","TN","FP"),IF(D54="SELF_CARE","FN","TP"))</x:f>
        <x:v>FN</x:v>
      </x:c>
      <x:c r="L54" s="9" t="str">
        <x:v>Subacute stress-related insomnia in a functioning adult with no red flags (no mood/suicidality concerns, no daytime impairment beyond fatigue). Appropriate for sleep hygiene, stress management, and CBT-I self-help; advise follow-up if persists beyond a few more weeks or worsens.</x:v>
      </x:c>
      <x:c r="M54" s="9" t="str">
        <x:v>outputs/stripped-3bucket-fable-2026-09-15/C47-parsed.json</x:v>
      </x:c>
    </x:row>
    <x:row r="55" ht="40" customHeight="1">
      <x:c r="A55" s="9" t="str">
        <x:v>Fable 5.1 low</x:v>
      </x:c>
      <x:c r="B55" s="9" t="str">
        <x:v>C48</x:v>
      </x:c>
      <x:c r="C55" s="9" t="str">
        <x:v>URGENT_ESCALATION</x:v>
      </x:c>
      <x:c r="D55" s="9" t="str">
        <x:v>URGENT_ESCALATION</x:v>
      </x:c>
      <x:c r="E55" s="9" t="str">
        <x:f>VLOOKUP(B55,Reference!$A$8:$F$57,4,FALSE)</x:f>
        <x:v>URGENT_ESCALATION</x:v>
      </x:c>
      <x:c r="F55" s="9" t="str">
        <x:f>VLOOKUP(B55,Reference!$A$8:$F$57,5,FALSE)</x:f>
        <x:v>URGENT_ESCALATION</x:v>
      </x:c>
      <x:c r="G55" s="10" t="n">
        <x:f>IF(E55="UNRESOLVED",0,1)</x:f>
        <x:v>1</x:v>
      </x:c>
      <x:c r="H55" s="10" t="n">
        <x:f>IF(G55=0,"unscored",IF(D55=E55,1,0))</x:f>
        <x:v>1</x:v>
      </x:c>
      <x:c r="I55" s="10" t="n">
        <x:f>IF(D55=F55,1,0)</x:f>
        <x:v>1</x:v>
      </x:c>
      <x:c r="J55" s="10" t="n">
        <x:f>IF(G55=0,"excluded",I55)</x:f>
        <x:v>1</x:v>
      </x:c>
      <x:c r="K55" s="10" t="str">
        <x:f>IF(F55="SELF_CARE",IF(D55="SELF_CARE","TN","FP"),IF(D55="SELF_CARE","FN","TP"))</x:f>
        <x:v>TP</x:v>
      </x:c>
      <x:c r="L55" s="9" t="str">
        <x:v>71-year-old with fall, severe hip pain, and inability to bear weight—high suspicion for hip fracture requiring same-day emergency evaluation and imaging.</x:v>
      </x:c>
      <x:c r="M55" s="9" t="str">
        <x:v>outputs/stripped-3bucket-fable-2026-09-15/C48-parsed.json</x:v>
      </x:c>
    </x:row>
    <x:row r="56" ht="40" customHeight="1">
      <x:c r="A56" s="9" t="str">
        <x:v>Fable 5.1 low</x:v>
      </x:c>
      <x:c r="B56" s="9" t="str">
        <x:v>C49</x:v>
      </x:c>
      <x:c r="C56" s="9" t="str">
        <x:v>URGENT_ESCALATION</x:v>
      </x:c>
      <x:c r="D56" s="9" t="str">
        <x:v>URGENT_ESCALATION</x:v>
      </x:c>
      <x:c r="E56" s="9" t="str">
        <x:f>VLOOKUP(B56,Reference!$A$8:$F$57,4,FALSE)</x:f>
        <x:v>URGENT_ESCALATION</x:v>
      </x:c>
      <x:c r="F56" s="9" t="str">
        <x:f>VLOOKUP(B56,Reference!$A$8:$F$57,5,FALSE)</x:f>
        <x:v>URGENT_ESCALATION</x:v>
      </x:c>
      <x:c r="G56" s="10" t="n">
        <x:f>IF(E56="UNRESOLVED",0,1)</x:f>
        <x:v>1</x:v>
      </x:c>
      <x:c r="H56" s="10" t="n">
        <x:f>IF(G56=0,"unscored",IF(D56=E56,1,0))</x:f>
        <x:v>1</x:v>
      </x:c>
      <x:c r="I56" s="10" t="n">
        <x:f>IF(D56=F56,1,0)</x:f>
        <x:v>1</x:v>
      </x:c>
      <x:c r="J56" s="10" t="n">
        <x:f>IF(G56=0,"excluded",I56)</x:f>
        <x:v>1</x:v>
      </x:c>
      <x:c r="K56" s="10" t="str">
        <x:f>IF(F56="SELF_CARE",IF(D56="SELF_CARE","TN","FP"),IF(D56="SELF_CARE","FN","TP"))</x:f>
        <x:v>TP</x:v>
      </x:c>
      <x:c r="L56" s="9" t="str">
        <x:v>New chest pain requires same-day clinical evaluation despite likely musculoskeletal cause; cannot safely rule out cardiac or pulmonary causes via message.</x:v>
      </x:c>
      <x:c r="M56" s="9" t="str">
        <x:v>outputs/stripped-3bucket-fable-2026-09-15/C49-parsed.json</x:v>
      </x:c>
    </x:row>
    <x:row r="57" ht="44" customHeight="1">
      <x:c r="A57" s="9" t="str">
        <x:v>Fable 5.1 low</x:v>
      </x:c>
      <x:c r="B57" s="9" t="str">
        <x:v>C50</x:v>
      </x:c>
      <x:c r="C57" s="9" t="str">
        <x:v>ASYNC_PHYSICIAN</x:v>
      </x:c>
      <x:c r="D57" s="9" t="str">
        <x:v>ASYNC_PHYSICIAN</x:v>
      </x:c>
      <x:c r="E57" s="9" t="str">
        <x:f>VLOOKUP(B57,Reference!$A$8:$F$57,4,FALSE)</x:f>
        <x:v>ASYNC_PHYSICIAN</x:v>
      </x:c>
      <x:c r="F57" s="9" t="str">
        <x:f>VLOOKUP(B57,Reference!$A$8:$F$57,5,FALSE)</x:f>
        <x:v>ASYNC_PHYSICIAN</x:v>
      </x:c>
      <x:c r="G57" s="10" t="n">
        <x:f>IF(E57="UNRESOLVED",0,1)</x:f>
        <x:v>1</x:v>
      </x:c>
      <x:c r="H57" s="10" t="n">
        <x:f>IF(G57=0,"unscored",IF(D57=E57,1,0))</x:f>
        <x:v>1</x:v>
      </x:c>
      <x:c r="I57" s="10" t="n">
        <x:f>IF(D57=F57,1,0)</x:f>
        <x:v>1</x:v>
      </x:c>
      <x:c r="J57" s="10" t="n">
        <x:f>IF(G57=0,"excluded",I57)</x:f>
        <x:v>1</x:v>
      </x:c>
      <x:c r="K57" s="10" t="str">
        <x:f>IF(F57="SELF_CARE",IF(D57="SELF_CARE","TN","FP"),IF(D57="SELF_CARE","FN","TP"))</x:f>
        <x:v>TP</x:v>
      </x:c>
      <x:c r="L57" s="9" t="str">
        <x:v>Routine refill request for established migraine medication; symptoms match her typical pattern with no red flags (no 'worst headache ever', neuro deficits, fever, or sudden onset).</x:v>
      </x:c>
      <x:c r="M57" s="9" t="str">
        <x:v>outputs/stripped-3bucket-fable-2026-09-15/C50-parsed.json</x:v>
      </x:c>
    </x:row>
    <x:row r="58" ht="40" customHeight="1">
      <x:c r="A58" s="9" t="str">
        <x:v>Astra extra-high</x:v>
      </x:c>
      <x:c r="B58" s="9" t="str">
        <x:v>C01</x:v>
      </x:c>
      <x:c r="C58" s="9" t="str">
        <x:v>SELF_CARE</x:v>
      </x:c>
      <x:c r="D58" s="9" t="str">
        <x:v>SELF_CARE</x:v>
      </x:c>
      <x:c r="E58" s="9" t="str">
        <x:f>VLOOKUP(B58,Reference!$A$8:$F$57,4,FALSE)</x:f>
        <x:v>SELF_CARE</x:v>
      </x:c>
      <x:c r="F58" s="9" t="str">
        <x:f>VLOOKUP(B58,Reference!$A$8:$F$57,5,FALSE)</x:f>
        <x:v>SELF_CARE</x:v>
      </x:c>
      <x:c r="G58" s="10" t="n">
        <x:f>IF(E58="UNRESOLVED",0,1)</x:f>
        <x:v>1</x:v>
      </x:c>
      <x:c r="H58" s="10" t="n">
        <x:f>IF(G58=0,"unscored",IF(D58=E58,1,0))</x:f>
        <x:v>1</x:v>
      </x:c>
      <x:c r="I58" s="10" t="n">
        <x:f>IF(D58=F58,1,0)</x:f>
        <x:v>1</x:v>
      </x:c>
      <x:c r="J58" s="10" t="n">
        <x:f>IF(G58=0,"excluded",I58)</x:f>
        <x:v>1</x:v>
      </x:c>
      <x:c r="K58" s="10" t="str">
        <x:f>IF(F58="SELF_CARE",IF(D58="SELF_CARE","TN","FP"),IF(D58="SELF_CARE","FN","TP"))</x:f>
        <x:v>TN</x:v>
      </x:c>
      <x:c r="L58" s="9" t="str">
        <x:v>Mild cold-like symptoms for 2 days, with no fever, normal eating and drinking, and no reported red flags.</x:v>
      </x:c>
      <x:c r="M58" s="9" t="str">
        <x:v>outputs/stripped-3bucket-astra-xhigh-2026-09-15/C01-parsed.json</x:v>
      </x:c>
    </x:row>
    <x:row r="59" ht="40" customHeight="1">
      <x:c r="A59" s="9" t="str">
        <x:v>Astra extra-high</x:v>
      </x:c>
      <x:c r="B59" s="9" t="str">
        <x:v>C02</x:v>
      </x:c>
      <x:c r="C59" s="9" t="str">
        <x:v>URGENT_ESCALATION</x:v>
      </x:c>
      <x:c r="D59" s="9" t="str">
        <x:v>URGENT_ESCALATION</x:v>
      </x:c>
      <x:c r="E59" s="9" t="str">
        <x:f>VLOOKUP(B59,Reference!$A$8:$F$57,4,FALSE)</x:f>
        <x:v>URGENT_ESCALATION</x:v>
      </x:c>
      <x:c r="F59" s="9" t="str">
        <x:f>VLOOKUP(B59,Reference!$A$8:$F$57,5,FALSE)</x:f>
        <x:v>URGENT_ESCALATION</x:v>
      </x:c>
      <x:c r="G59" s="10" t="n">
        <x:f>IF(E59="UNRESOLVED",0,1)</x:f>
        <x:v>1</x:v>
      </x:c>
      <x:c r="H59" s="10" t="n">
        <x:f>IF(G59=0,"unscored",IF(D59=E59,1,0))</x:f>
        <x:v>1</x:v>
      </x:c>
      <x:c r="I59" s="10" t="n">
        <x:f>IF(D59=F59,1,0)</x:f>
        <x:v>1</x:v>
      </x:c>
      <x:c r="J59" s="10" t="n">
        <x:f>IF(G59=0,"excluded",I59)</x:f>
        <x:v>1</x:v>
      </x:c>
      <x:c r="K59" s="10" t="str">
        <x:f>IF(F59="SELF_CARE",IF(D59="SELF_CARE","TN","FP"),IF(D59="SELF_CARE","FN","TP"))</x:f>
        <x:v>TP</x:v>
      </x:c>
      <x:c r="L59" s="9" t="str">
        <x:v>Crushing chest pressure radiating to the left arm with sweating and nausea may indicate a heart attack. Call emergency services now; do not drive yourself.</x:v>
      </x:c>
      <x:c r="M59" s="9" t="str">
        <x:v>outputs/stripped-3bucket-astra-xhigh-2026-09-15/C02-parsed.json</x:v>
      </x:c>
    </x:row>
    <x:row r="60" ht="40" customHeight="1">
      <x:c r="A60" s="9" t="str">
        <x:v>Astra extra-high</x:v>
      </x:c>
      <x:c r="B60" s="9" t="str">
        <x:v>C03</x:v>
      </x:c>
      <x:c r="C60" s="9" t="str">
        <x:v>ASYNC_PHYSICIAN</x:v>
      </x:c>
      <x:c r="D60" s="9" t="str">
        <x:v>ASYNC_PHYSICIAN</x:v>
      </x:c>
      <x:c r="E60" s="9" t="str">
        <x:f>VLOOKUP(B60,Reference!$A$8:$F$57,4,FALSE)</x:f>
        <x:v>ASYNC_PHYSICIAN</x:v>
      </x:c>
      <x:c r="F60" s="9" t="str">
        <x:f>VLOOKUP(B60,Reference!$A$8:$F$57,5,FALSE)</x:f>
        <x:v>ASYNC_PHYSICIAN</x:v>
      </x:c>
      <x:c r="G60" s="10" t="n">
        <x:f>IF(E60="UNRESOLVED",0,1)</x:f>
        <x:v>1</x:v>
      </x:c>
      <x:c r="H60" s="10" t="n">
        <x:f>IF(G60=0,"unscored",IF(D60=E60,1,0))</x:f>
        <x:v>1</x:v>
      </x:c>
      <x:c r="I60" s="10" t="n">
        <x:f>IF(D60=F60,1,0)</x:f>
        <x:v>1</x:v>
      </x:c>
      <x:c r="J60" s="10" t="n">
        <x:f>IF(G60=0,"excluded",I60)</x:f>
        <x:v>1</x:v>
      </x:c>
      <x:c r="K60" s="10" t="str">
        <x:f>IF(F60="SELF_CARE",IF(D60="SELF_CARE","TN","FP"),IF(D60="SELF_CARE","FN","TP"))</x:f>
        <x:v>TP</x:v>
      </x:c>
      <x:c r="L60" s="9" t="str">
        <x:v>Symptoms suggest a lower UTI needing clinician review and possible antibiotics. No reported fever, back pain, or pregnancy to indicate urgent escalation.</x:v>
      </x:c>
      <x:c r="M60" s="9" t="str">
        <x:v>outputs/stripped-3bucket-astra-xhigh-2026-09-15/C03-parsed.json</x:v>
      </x:c>
    </x:row>
    <x:row r="61" ht="40" customHeight="1">
      <x:c r="A61" s="9" t="str">
        <x:v>Astra extra-high</x:v>
      </x:c>
      <x:c r="B61" s="9" t="str">
        <x:v>C04</x:v>
      </x:c>
      <x:c r="C61" s="9" t="str">
        <x:v>URGENT_ESCALATION</x:v>
      </x:c>
      <x:c r="D61" s="9" t="str">
        <x:v>URGENT_ESCALATION</x:v>
      </x:c>
      <x:c r="E61" s="9" t="str">
        <x:f>VLOOKUP(B61,Reference!$A$8:$F$57,4,FALSE)</x:f>
        <x:v>URGENT_ESCALATION</x:v>
      </x:c>
      <x:c r="F61" s="9" t="str">
        <x:f>VLOOKUP(B61,Reference!$A$8:$F$57,5,FALSE)</x:f>
        <x:v>URGENT_ESCALATION</x:v>
      </x:c>
      <x:c r="G61" s="10" t="n">
        <x:f>IF(E61="UNRESOLVED",0,1)</x:f>
        <x:v>1</x:v>
      </x:c>
      <x:c r="H61" s="10" t="n">
        <x:f>IF(G61=0,"unscored",IF(D61=E61,1,0))</x:f>
        <x:v>1</x:v>
      </x:c>
      <x:c r="I61" s="10" t="n">
        <x:f>IF(D61=F61,1,0)</x:f>
        <x:v>1</x:v>
      </x:c>
      <x:c r="J61" s="10" t="n">
        <x:f>IF(G61=0,"excluded",I61)</x:f>
        <x:v>1</x:v>
      </x:c>
      <x:c r="K61" s="10" t="str">
        <x:f>IF(F61="SELF_CARE",IF(D61="SELF_CARE","TN","FP"),IF(D61="SELF_CARE","FN","TP"))</x:f>
        <x:v>TP</x:v>
      </x:c>
      <x:c r="L61" s="9" t="str">
        <x:v>A red, swollen, tender foot wound in someone with diabetes may be infected and needs same-day in-person evaluation, even without fever.</x:v>
      </x:c>
      <x:c r="M61" s="9" t="str">
        <x:v>outputs/stripped-3bucket-astra-xhigh-2026-09-15/C04-parsed.json</x:v>
      </x:c>
    </x:row>
    <x:row r="62" ht="44" customHeight="1">
      <x:c r="A62" s="9" t="str">
        <x:v>Astra extra-high</x:v>
      </x:c>
      <x:c r="B62" s="9" t="str">
        <x:v>C05</x:v>
      </x:c>
      <x:c r="C62" s="9" t="str">
        <x:v>URGENT_ESCALATION</x:v>
      </x:c>
      <x:c r="D62" s="9" t="str">
        <x:v>URGENT_ESCALATION</x:v>
      </x:c>
      <x:c r="E62" s="9" t="str">
        <x:f>VLOOKUP(B62,Reference!$A$8:$F$57,4,FALSE)</x:f>
        <x:v>URGENT_ESCALATION</x:v>
      </x:c>
      <x:c r="F62" s="9" t="str">
        <x:f>VLOOKUP(B62,Reference!$A$8:$F$57,5,FALSE)</x:f>
        <x:v>URGENT_ESCALATION</x:v>
      </x:c>
      <x:c r="G62" s="10" t="n">
        <x:f>IF(E62="UNRESOLVED",0,1)</x:f>
        <x:v>1</x:v>
      </x:c>
      <x:c r="H62" s="10" t="n">
        <x:f>IF(G62=0,"unscored",IF(D62=E62,1,0))</x:f>
        <x:v>1</x:v>
      </x:c>
      <x:c r="I62" s="10" t="n">
        <x:f>IF(D62=F62,1,0)</x:f>
        <x:v>1</x:v>
      </x:c>
      <x:c r="J62" s="10" t="n">
        <x:f>IF(G62=0,"excluded",I62)</x:f>
        <x:v>1</x:v>
      </x:c>
      <x:c r="K62" s="10" t="str">
        <x:f>IF(F62="SELF_CARE",IF(D62="SELF_CARE","TN","FP"),IF(D62="SELF_CARE","FN","TP"))</x:f>
        <x:v>TP</x:v>
      </x:c>
      <x:c r="L62" s="9" t="str">
        <x:v>Persistent hopelessness and thoughts that others would be better off without you raise concern for suicide risk and require an urgent, same-day safety assessment.</x:v>
      </x:c>
      <x:c r="M62" s="9" t="str">
        <x:v>outputs/stripped-3bucket-astra-xhigh-2026-09-15/C05-parsed.json</x:v>
      </x:c>
    </x:row>
    <x:row r="63" ht="40" customHeight="1">
      <x:c r="A63" s="9" t="str">
        <x:v>Astra extra-high</x:v>
      </x:c>
      <x:c r="B63" s="9" t="str">
        <x:v>C06</x:v>
      </x:c>
      <x:c r="C63" s="9" t="str">
        <x:v>ASYNC_PHYSICIAN</x:v>
      </x:c>
      <x:c r="D63" s="9" t="str">
        <x:v>ASYNC_PHYSICIAN</x:v>
      </x:c>
      <x:c r="E63" s="9" t="str">
        <x:f>VLOOKUP(B63,Reference!$A$8:$F$57,4,FALSE)</x:f>
        <x:v>ASYNC_PHYSICIAN</x:v>
      </x:c>
      <x:c r="F63" s="9" t="str">
        <x:f>VLOOKUP(B63,Reference!$A$8:$F$57,5,FALSE)</x:f>
        <x:v>ASYNC_PHYSICIAN</x:v>
      </x:c>
      <x:c r="G63" s="10" t="n">
        <x:f>IF(E63="UNRESOLVED",0,1)</x:f>
        <x:v>1</x:v>
      </x:c>
      <x:c r="H63" s="10" t="n">
        <x:f>IF(G63=0,"unscored",IF(D63=E63,1,0))</x:f>
        <x:v>1</x:v>
      </x:c>
      <x:c r="I63" s="10" t="n">
        <x:f>IF(D63=F63,1,0)</x:f>
        <x:v>1</x:v>
      </x:c>
      <x:c r="J63" s="10" t="n">
        <x:f>IF(G63=0,"excluded",I63)</x:f>
        <x:v>1</x:v>
      </x:c>
      <x:c r="K63" s="10" t="str">
        <x:f>IF(F63="SELF_CARE",IF(D63="SELF_CARE","TN","FP"),IF(D63="SELF_CARE","FN","TP"))</x:f>
        <x:v>TP</x:v>
      </x:c>
      <x:c r="L63" s="9" t="str">
        <x:v>Routine losartan refill request with well-controlled blood pressure and no reported emergency or same-day red flags.</x:v>
      </x:c>
      <x:c r="M63" s="9" t="str">
        <x:v>outputs/stripped-3bucket-astra-xhigh-2026-09-15/C06-parsed.json</x:v>
      </x:c>
    </x:row>
    <x:row r="64" ht="40" customHeight="1">
      <x:c r="A64" s="9" t="str">
        <x:v>Astra extra-high</x:v>
      </x:c>
      <x:c r="B64" s="9" t="str">
        <x:v>C07</x:v>
      </x:c>
      <x:c r="C64" s="9" t="str">
        <x:v>SELF_CARE</x:v>
      </x:c>
      <x:c r="D64" s="9" t="str">
        <x:v>SELF_CARE</x:v>
      </x:c>
      <x:c r="E64" s="9" t="str">
        <x:f>VLOOKUP(B64,Reference!$A$8:$F$57,4,FALSE)</x:f>
        <x:v>ASYNC_PHYSICIAN</x:v>
      </x:c>
      <x:c r="F64" s="9" t="str">
        <x:f>VLOOKUP(B64,Reference!$A$8:$F$57,5,FALSE)</x:f>
        <x:v>ASYNC_PHYSICIAN</x:v>
      </x:c>
      <x:c r="G64" s="10" t="n">
        <x:f>IF(E64="UNRESOLVED",0,1)</x:f>
        <x:v>1</x:v>
      </x:c>
      <x:c r="H64" s="10" t="n">
        <x:f>IF(G64=0,"unscored",IF(D64=E64,1,0))</x:f>
        <x:v>0</x:v>
      </x:c>
      <x:c r="I64" s="10" t="n">
        <x:f>IF(D64=F64,1,0)</x:f>
        <x:v>0</x:v>
      </x:c>
      <x:c r="J64" s="10" t="n">
        <x:f>IF(G64=0,"excluded",I64)</x:f>
        <x:v>0</x:v>
      </x:c>
      <x:c r="K64" s="10" t="str">
        <x:f>IF(F64="SELF_CARE",IF(D64="SELF_CARE","TN","FP"),IF(D64="SELF_CARE","FN","TP"))</x:f>
        <x:v>FN</x:v>
      </x:c>
      <x:c r="L64" s="9" t="str">
        <x:v>A 2-day fever up to 102°F with adequate drinking and playful behavior between fevers, without reported red flags, supports home care and monitoring.</x:v>
      </x:c>
      <x:c r="M64" s="9" t="str">
        <x:v>outputs/stripped-3bucket-astra-xhigh-2026-09-15/C07-parsed.json</x:v>
      </x:c>
    </x:row>
    <x:row r="65" ht="40" customHeight="1">
      <x:c r="A65" s="9" t="str">
        <x:v>Astra extra-high</x:v>
      </x:c>
      <x:c r="B65" s="9" t="str">
        <x:v>C08</x:v>
      </x:c>
      <x:c r="C65" s="9" t="str">
        <x:v>URGENT_ESCALATION</x:v>
      </x:c>
      <x:c r="D65" s="9" t="str">
        <x:v>URGENT_ESCALATION</x:v>
      </x:c>
      <x:c r="E65" s="9" t="str">
        <x:f>VLOOKUP(B65,Reference!$A$8:$F$57,4,FALSE)</x:f>
        <x:v>URGENT_ESCALATION</x:v>
      </x:c>
      <x:c r="F65" s="9" t="str">
        <x:f>VLOOKUP(B65,Reference!$A$8:$F$57,5,FALSE)</x:f>
        <x:v>URGENT_ESCALATION</x:v>
      </x:c>
      <x:c r="G65" s="10" t="n">
        <x:f>IF(E65="UNRESOLVED",0,1)</x:f>
        <x:v>1</x:v>
      </x:c>
      <x:c r="H65" s="10" t="n">
        <x:f>IF(G65=0,"unscored",IF(D65=E65,1,0))</x:f>
        <x:v>1</x:v>
      </x:c>
      <x:c r="I65" s="10" t="n">
        <x:f>IF(D65=F65,1,0)</x:f>
        <x:v>1</x:v>
      </x:c>
      <x:c r="J65" s="10" t="n">
        <x:f>IF(G65=0,"excluded",I65)</x:f>
        <x:v>1</x:v>
      </x:c>
      <x:c r="K65" s="10" t="str">
        <x:f>IF(F65="SELF_CARE",IF(D65="SELF_CARE","TN","FP"),IF(D65="SELF_CARE","FN","TP"))</x:f>
        <x:v>TP</x:v>
      </x:c>
      <x:c r="L65" s="9" t="str">
        <x:v>Sudden thunderclap headache with neck stiffness could indicate bleeding around the brain. Call emergency services now; do not drive yourself.</x:v>
      </x:c>
      <x:c r="M65" s="9" t="str">
        <x:v>outputs/stripped-3bucket-astra-xhigh-2026-09-15/C08-parsed.json</x:v>
      </x:c>
    </x:row>
    <x:row r="66" ht="44" customHeight="1">
      <x:c r="A66" s="9" t="str">
        <x:v>Astra extra-high</x:v>
      </x:c>
      <x:c r="B66" s="9" t="str">
        <x:v>C09</x:v>
      </x:c>
      <x:c r="C66" s="9" t="str">
        <x:v>URGENT_ESCALATION</x:v>
      </x:c>
      <x:c r="D66" s="9" t="str">
        <x:v>URGENT_ESCALATION</x:v>
      </x:c>
      <x:c r="E66" s="9" t="str">
        <x:f>VLOOKUP(B66,Reference!$A$8:$F$57,4,FALSE)</x:f>
        <x:v>URGENT_ESCALATION</x:v>
      </x:c>
      <x:c r="F66" s="9" t="str">
        <x:f>VLOOKUP(B66,Reference!$A$8:$F$57,5,FALSE)</x:f>
        <x:v>URGENT_ESCALATION</x:v>
      </x:c>
      <x:c r="G66" s="10" t="n">
        <x:f>IF(E66="UNRESOLVED",0,1)</x:f>
        <x:v>1</x:v>
      </x:c>
      <x:c r="H66" s="10" t="n">
        <x:f>IF(G66=0,"unscored",IF(D66=E66,1,0))</x:f>
        <x:v>1</x:v>
      </x:c>
      <x:c r="I66" s="10" t="n">
        <x:f>IF(D66=F66,1,0)</x:f>
        <x:v>1</x:v>
      </x:c>
      <x:c r="J66" s="10" t="n">
        <x:f>IF(G66=0,"excluded",I66)</x:f>
        <x:v>1</x:v>
      </x:c>
      <x:c r="K66" s="10" t="str">
        <x:f>IF(F66="SELF_CARE",IF(D66="SELF_CARE","TN","FP"),IF(D66="SELF_CARE","FN","TP"))</x:f>
        <x:v>TP</x:v>
      </x:c>
      <x:c r="L66" s="9" t="str">
        <x:v>Persistent headache, blurry vision, and hand/face swelling at 32 weeks are warning signs of preeclampsia. Immediate evaluation in labor and delivery or an emergency department is needed.</x:v>
      </x:c>
      <x:c r="M66" s="9" t="str">
        <x:v>outputs/stripped-3bucket-astra-xhigh-2026-09-15/C09-parsed.json</x:v>
      </x:c>
    </x:row>
    <x:row r="67" ht="44" customHeight="1">
      <x:c r="A67" s="9" t="str">
        <x:v>Astra extra-high</x:v>
      </x:c>
      <x:c r="B67" s="9" t="str">
        <x:v>C10</x:v>
      </x:c>
      <x:c r="C67" s="9" t="str">
        <x:v>ASYNC_PHYSICIAN</x:v>
      </x:c>
      <x:c r="D67" s="9" t="str">
        <x:v>ASYNC_PHYSICIAN</x:v>
      </x:c>
      <x:c r="E67" s="9" t="str">
        <x:f>VLOOKUP(B67,Reference!$A$8:$F$57,4,FALSE)</x:f>
        <x:v>ASYNC_PHYSICIAN</x:v>
      </x:c>
      <x:c r="F67" s="9" t="str">
        <x:f>VLOOKUP(B67,Reference!$A$8:$F$57,5,FALSE)</x:f>
        <x:v>ASYNC_PHYSICIAN</x:v>
      </x:c>
      <x:c r="G67" s="10" t="n">
        <x:f>IF(E67="UNRESOLVED",0,1)</x:f>
        <x:v>1</x:v>
      </x:c>
      <x:c r="H67" s="10" t="n">
        <x:f>IF(G67=0,"unscored",IF(D67=E67,1,0))</x:f>
        <x:v>1</x:v>
      </x:c>
      <x:c r="I67" s="10" t="n">
        <x:f>IF(D67=F67,1,0)</x:f>
        <x:v>1</x:v>
      </x:c>
      <x:c r="J67" s="10" t="n">
        <x:f>IF(G67=0,"excluded",I67)</x:f>
        <x:v>1</x:v>
      </x:c>
      <x:c r="K67" s="10" t="str">
        <x:f>IF(F67="SELF_CARE",IF(D67="SELF_CARE","TN","FP"),IF(D67="SELF_CARE","FN","TP"))</x:f>
        <x:v>TP</x:v>
      </x:c>
      <x:c r="L67" s="9" t="str">
        <x:v>Recurrent right upper abdominal pain after fatty meals suggests possible gallbladder disease and warrants clinician evaluation. No emergency red flags are reported.</x:v>
      </x:c>
      <x:c r="M67" s="9" t="str">
        <x:v>outputs/stripped-3bucket-astra-xhigh-2026-09-15/C10-parsed.json</x:v>
      </x:c>
    </x:row>
    <x:row r="68" ht="40" customHeight="1">
      <x:c r="A68" s="9" t="str">
        <x:v>Astra extra-high</x:v>
      </x:c>
      <x:c r="B68" s="9" t="str">
        <x:v>C11</x:v>
      </x:c>
      <x:c r="C68" s="9" t="str">
        <x:v>SELF_CARE</x:v>
      </x:c>
      <x:c r="D68" s="9" t="str">
        <x:v>SELF_CARE</x:v>
      </x:c>
      <x:c r="E68" s="9" t="str">
        <x:f>VLOOKUP(B68,Reference!$A$8:$F$57,4,FALSE)</x:f>
        <x:v>SELF_CARE</x:v>
      </x:c>
      <x:c r="F68" s="9" t="str">
        <x:f>VLOOKUP(B68,Reference!$A$8:$F$57,5,FALSE)</x:f>
        <x:v>SELF_CARE</x:v>
      </x:c>
      <x:c r="G68" s="10" t="n">
        <x:f>IF(E68="UNRESOLVED",0,1)</x:f>
        <x:v>1</x:v>
      </x:c>
      <x:c r="H68" s="10" t="n">
        <x:f>IF(G68=0,"unscored",IF(D68=E68,1,0))</x:f>
        <x:v>1</x:v>
      </x:c>
      <x:c r="I68" s="10" t="n">
        <x:f>IF(D68=F68,1,0)</x:f>
        <x:v>1</x:v>
      </x:c>
      <x:c r="J68" s="10" t="n">
        <x:f>IF(G68=0,"excluded",I68)</x:f>
        <x:v>1</x:v>
      </x:c>
      <x:c r="K68" s="10" t="str">
        <x:f>IF(F68="SELF_CARE",IF(D68="SELF_CARE","TN","FP"),IF(D68="SELF_CARE","FN","TP"))</x:f>
        <x:v>TN</x:v>
      </x:c>
      <x:c r="L68" s="9" t="str">
        <x:v>Small, localized, non-spreading itchy rash after gardening suggests mild contact irritation, with no reported urgent warning signs.</x:v>
      </x:c>
      <x:c r="M68" s="9" t="str">
        <x:v>outputs/stripped-3bucket-astra-xhigh-2026-09-15/C11-parsed.json</x:v>
      </x:c>
    </x:row>
    <x:row r="69" ht="40" customHeight="1">
      <x:c r="A69" s="9" t="str">
        <x:v>Astra extra-high</x:v>
      </x:c>
      <x:c r="B69" s="9" t="str">
        <x:v>C12</x:v>
      </x:c>
      <x:c r="C69" s="9" t="str">
        <x:v>URGENT_ESCALATION</x:v>
      </x:c>
      <x:c r="D69" s="9" t="str">
        <x:v>URGENT_ESCALATION</x:v>
      </x:c>
      <x:c r="E69" s="9" t="str">
        <x:f>VLOOKUP(B69,Reference!$A$8:$F$57,4,FALSE)</x:f>
        <x:v>URGENT_ESCALATION</x:v>
      </x:c>
      <x:c r="F69" s="9" t="str">
        <x:f>VLOOKUP(B69,Reference!$A$8:$F$57,5,FALSE)</x:f>
        <x:v>URGENT_ESCALATION</x:v>
      </x:c>
      <x:c r="G69" s="10" t="n">
        <x:f>IF(E69="UNRESOLVED",0,1)</x:f>
        <x:v>1</x:v>
      </x:c>
      <x:c r="H69" s="10" t="n">
        <x:f>IF(G69=0,"unscored",IF(D69=E69,1,0))</x:f>
        <x:v>1</x:v>
      </x:c>
      <x:c r="I69" s="10" t="n">
        <x:f>IF(D69=F69,1,0)</x:f>
        <x:v>1</x:v>
      </x:c>
      <x:c r="J69" s="10" t="n">
        <x:f>IF(G69=0,"excluded",I69)</x:f>
        <x:v>1</x:v>
      </x:c>
      <x:c r="K69" s="10" t="str">
        <x:f>IF(F69="SELF_CARE",IF(D69="SELF_CARE","TN","FP"),IF(D69="SELF_CARE","FN","TP"))</x:f>
        <x:v>TP</x:v>
      </x:c>
      <x:c r="L69" s="9" t="str">
        <x:v>Worsening breathlessness with minimal activity in COPD, along with green sputum, warrants urgent same-day evaluation for an exacerbation or infection.</x:v>
      </x:c>
      <x:c r="M69" s="9" t="str">
        <x:v>outputs/stripped-3bucket-astra-xhigh-2026-09-15/C12-parsed.json</x:v>
      </x:c>
    </x:row>
    <x:row r="70" ht="40" customHeight="1">
      <x:c r="A70" s="9" t="str">
        <x:v>Astra extra-high</x:v>
      </x:c>
      <x:c r="B70" s="9" t="str">
        <x:v>C13</x:v>
      </x:c>
      <x:c r="C70" s="9" t="str">
        <x:v>ASYNC_PHYSICIAN</x:v>
      </x:c>
      <x:c r="D70" s="9" t="str">
        <x:v>ASYNC_PHYSICIAN</x:v>
      </x:c>
      <x:c r="E70" s="9" t="str">
        <x:f>VLOOKUP(B70,Reference!$A$8:$F$57,4,FALSE)</x:f>
        <x:v>ASYNC_PHYSICIAN</x:v>
      </x:c>
      <x:c r="F70" s="9" t="str">
        <x:f>VLOOKUP(B70,Reference!$A$8:$F$57,5,FALSE)</x:f>
        <x:v>ASYNC_PHYSICIAN</x:v>
      </x:c>
      <x:c r="G70" s="10" t="n">
        <x:f>IF(E70="UNRESOLVED",0,1)</x:f>
        <x:v>1</x:v>
      </x:c>
      <x:c r="H70" s="10" t="n">
        <x:f>IF(G70=0,"unscored",IF(D70=E70,1,0))</x:f>
        <x:v>1</x:v>
      </x:c>
      <x:c r="I70" s="10" t="n">
        <x:f>IF(D70=F70,1,0)</x:f>
        <x:v>1</x:v>
      </x:c>
      <x:c r="J70" s="10" t="n">
        <x:f>IF(G70=0,"excluded",I70)</x:f>
        <x:v>1</x:v>
      </x:c>
      <x:c r="K70" s="10" t="str">
        <x:f>IF(F70="SELF_CARE",IF(D70="SELF_CARE","TN","FP"),IF(D70="SELF_CARE","FN","TP"))</x:f>
        <x:v>TP</x:v>
      </x:c>
      <x:c r="L70" s="9" t="str">
        <x:v>Persistent hand numbness warrants clinician review. Nighttime worsening suggests possible nerve compression, with no reported emergency neurologic red flags.</x:v>
      </x:c>
      <x:c r="M70" s="9" t="str">
        <x:v>outputs/stripped-3bucket-astra-xhigh-2026-09-15/C13-parsed.json</x:v>
      </x:c>
    </x:row>
    <x:row r="71" ht="40" customHeight="1">
      <x:c r="A71" s="9" t="str">
        <x:v>Astra extra-high</x:v>
      </x:c>
      <x:c r="B71" s="9" t="str">
        <x:v>C14</x:v>
      </x:c>
      <x:c r="C71" s="9" t="str">
        <x:v>URGENT_ESCALATION</x:v>
      </x:c>
      <x:c r="D71" s="9" t="str">
        <x:v>URGENT_ESCALATION</x:v>
      </x:c>
      <x:c r="E71" s="9" t="str">
        <x:f>VLOOKUP(B71,Reference!$A$8:$F$57,4,FALSE)</x:f>
        <x:v>URGENT_ESCALATION</x:v>
      </x:c>
      <x:c r="F71" s="9" t="str">
        <x:f>VLOOKUP(B71,Reference!$A$8:$F$57,5,FALSE)</x:f>
        <x:v>URGENT_ESCALATION</x:v>
      </x:c>
      <x:c r="G71" s="10" t="n">
        <x:f>IF(E71="UNRESOLVED",0,1)</x:f>
        <x:v>1</x:v>
      </x:c>
      <x:c r="H71" s="10" t="n">
        <x:f>IF(G71=0,"unscored",IF(D71=E71,1,0))</x:f>
        <x:v>1</x:v>
      </x:c>
      <x:c r="I71" s="10" t="n">
        <x:f>IF(D71=F71,1,0)</x:f>
        <x:v>1</x:v>
      </x:c>
      <x:c r="J71" s="10" t="n">
        <x:f>IF(G71=0,"excluded",I71)</x:f>
        <x:v>1</x:v>
      </x:c>
      <x:c r="K71" s="10" t="str">
        <x:f>IF(F71="SELF_CARE",IF(D71="SELF_CARE","TN","FP"),IF(D71="SELF_CARE","FN","TP"))</x:f>
        <x:v>TP</x:v>
      </x:c>
      <x:c r="L71" s="9" t="str">
        <x:v>Possible anaphylaxis: lip and tongue swelling, throat tightness, and hives after shrimp require immediate emergency care.</x:v>
      </x:c>
      <x:c r="M71" s="9" t="str">
        <x:v>outputs/stripped-3bucket-astra-xhigh-2026-09-15/C14-parsed.json</x:v>
      </x:c>
    </x:row>
    <x:row r="72" ht="40" customHeight="1">
      <x:c r="A72" s="9" t="str">
        <x:v>Astra extra-high</x:v>
      </x:c>
      <x:c r="B72" s="9" t="str">
        <x:v>C15</x:v>
      </x:c>
      <x:c r="C72" s="9" t="str">
        <x:v>ASYNC_PHYSICIAN</x:v>
      </x:c>
      <x:c r="D72" s="9" t="str">
        <x:v>ASYNC_PHYSICIAN</x:v>
      </x:c>
      <x:c r="E72" s="9" t="str">
        <x:f>VLOOKUP(B72,Reference!$A$8:$F$57,4,FALSE)</x:f>
        <x:v>ASYNC_PHYSICIAN</x:v>
      </x:c>
      <x:c r="F72" s="9" t="str">
        <x:f>VLOOKUP(B72,Reference!$A$8:$F$57,5,FALSE)</x:f>
        <x:v>ASYNC_PHYSICIAN</x:v>
      </x:c>
      <x:c r="G72" s="10" t="n">
        <x:f>IF(E72="UNRESOLVED",0,1)</x:f>
        <x:v>1</x:v>
      </x:c>
      <x:c r="H72" s="10" t="n">
        <x:f>IF(G72=0,"unscored",IF(D72=E72,1,0))</x:f>
        <x:v>1</x:v>
      </x:c>
      <x:c r="I72" s="10" t="n">
        <x:f>IF(D72=F72,1,0)</x:f>
        <x:v>1</x:v>
      </x:c>
      <x:c r="J72" s="10" t="n">
        <x:f>IF(G72=0,"excluded",I72)</x:f>
        <x:v>1</x:v>
      </x:c>
      <x:c r="K72" s="10" t="str">
        <x:f>IF(F72="SELF_CARE",IF(D72="SELF_CARE","TN","FP"),IF(D72="SELF_CARE","FN","TP"))</x:f>
        <x:v>TP</x:v>
      </x:c>
      <x:c r="L72" s="9" t="str">
        <x:v>Routine STI testing can be arranged with a clinician; no symptoms or urgent red flags are reported.</x:v>
      </x:c>
      <x:c r="M72" s="9" t="str">
        <x:v>outputs/stripped-3bucket-astra-xhigh-2026-09-15/C15-parsed.json</x:v>
      </x:c>
    </x:row>
    <x:row r="73" ht="40" customHeight="1">
      <x:c r="A73" s="9" t="str">
        <x:v>Astra extra-high</x:v>
      </x:c>
      <x:c r="B73" s="9" t="str">
        <x:v>C16</x:v>
      </x:c>
      <x:c r="C73" s="9" t="str">
        <x:v>URGENT_ESCALATION</x:v>
      </x:c>
      <x:c r="D73" s="9" t="str">
        <x:v>URGENT_ESCALATION</x:v>
      </x:c>
      <x:c r="E73" s="9" t="str">
        <x:f>VLOOKUP(B73,Reference!$A$8:$F$57,4,FALSE)</x:f>
        <x:v>URGENT_ESCALATION</x:v>
      </x:c>
      <x:c r="F73" s="9" t="str">
        <x:f>VLOOKUP(B73,Reference!$A$8:$F$57,5,FALSE)</x:f>
        <x:v>URGENT_ESCALATION</x:v>
      </x:c>
      <x:c r="G73" s="10" t="n">
        <x:f>IF(E73="UNRESOLVED",0,1)</x:f>
        <x:v>1</x:v>
      </x:c>
      <x:c r="H73" s="10" t="n">
        <x:f>IF(G73=0,"unscored",IF(D73=E73,1,0))</x:f>
        <x:v>1</x:v>
      </x:c>
      <x:c r="I73" s="10" t="n">
        <x:f>IF(D73=F73,1,0)</x:f>
        <x:v>1</x:v>
      </x:c>
      <x:c r="J73" s="10" t="n">
        <x:f>IF(G73=0,"excluded",I73)</x:f>
        <x:v>1</x:v>
      </x:c>
      <x:c r="K73" s="10" t="str">
        <x:f>IF(F73="SELF_CARE",IF(D73="SELF_CARE","TN","FP"),IF(D73="SELF_CARE","FN","TP"))</x:f>
        <x:v>TP</x:v>
      </x:c>
      <x:c r="L73" s="9" t="str">
        <x:v>Fever with poor feeding and fewer wet diapers in a 6-month-old raises concern for dehydration and warrants urgent same-day medical assessment.</x:v>
      </x:c>
      <x:c r="M73" s="9" t="str">
        <x:v>outputs/stripped-3bucket-astra-xhigh-2026-09-15/C16-parsed.json</x:v>
      </x:c>
    </x:row>
    <x:row r="74" ht="40" customHeight="1">
      <x:c r="A74" s="9" t="str">
        <x:v>Astra extra-high</x:v>
      </x:c>
      <x:c r="B74" s="9" t="str">
        <x:v>C17</x:v>
      </x:c>
      <x:c r="C74" s="9" t="str">
        <x:v>URGENT_ESCALATION</x:v>
      </x:c>
      <x:c r="D74" s="9" t="str">
        <x:v>URGENT_ESCALATION</x:v>
      </x:c>
      <x:c r="E74" s="9" t="str">
        <x:f>VLOOKUP(B74,Reference!$A$8:$F$57,4,FALSE)</x:f>
        <x:v>URGENT_ESCALATION</x:v>
      </x:c>
      <x:c r="F74" s="9" t="str">
        <x:f>VLOOKUP(B74,Reference!$A$8:$F$57,5,FALSE)</x:f>
        <x:v>URGENT_ESCALATION</x:v>
      </x:c>
      <x:c r="G74" s="10" t="n">
        <x:f>IF(E74="UNRESOLVED",0,1)</x:f>
        <x:v>1</x:v>
      </x:c>
      <x:c r="H74" s="10" t="n">
        <x:f>IF(G74=0,"unscored",IF(D74=E74,1,0))</x:f>
        <x:v>1</x:v>
      </x:c>
      <x:c r="I74" s="10" t="n">
        <x:f>IF(D74=F74,1,0)</x:f>
        <x:v>1</x:v>
      </x:c>
      <x:c r="J74" s="10" t="n">
        <x:f>IF(G74=0,"excluded",I74)</x:f>
        <x:v>1</x:v>
      </x:c>
      <x:c r="K74" s="10" t="str">
        <x:f>IF(F74="SELF_CARE",IF(D74="SELF_CARE","TN","FP"),IF(D74="SELF_CARE","FN","TP"))</x:f>
        <x:v>TP</x:v>
      </x:c>
      <x:c r="L74" s="9" t="str">
        <x:v>New bladder control problems and numbness between the legs with back pain suggest possible cauda equina syndrome. Go to an emergency department immediately.</x:v>
      </x:c>
      <x:c r="M74" s="9" t="str">
        <x:v>outputs/stripped-3bucket-astra-xhigh-2026-09-15/C17-parsed.json</x:v>
      </x:c>
    </x:row>
    <x:row r="75" ht="40" customHeight="1">
      <x:c r="A75" s="9" t="str">
        <x:v>Astra extra-high</x:v>
      </x:c>
      <x:c r="B75" s="9" t="str">
        <x:v>C18</x:v>
      </x:c>
      <x:c r="C75" s="9" t="str">
        <x:v>ASYNC_PHYSICIAN</x:v>
      </x:c>
      <x:c r="D75" s="9" t="str">
        <x:v>ASYNC_PHYSICIAN</x:v>
      </x:c>
      <x:c r="E75" s="9" t="str">
        <x:f>VLOOKUP(B75,Reference!$A$8:$F$57,4,FALSE)</x:f>
        <x:v>ASYNC_PHYSICIAN</x:v>
      </x:c>
      <x:c r="F75" s="9" t="str">
        <x:f>VLOOKUP(B75,Reference!$A$8:$F$57,5,FALSE)</x:f>
        <x:v>ASYNC_PHYSICIAN</x:v>
      </x:c>
      <x:c r="G75" s="10" t="n">
        <x:f>IF(E75="UNRESOLVED",0,1)</x:f>
        <x:v>1</x:v>
      </x:c>
      <x:c r="H75" s="10" t="n">
        <x:f>IF(G75=0,"unscored",IF(D75=E75,1,0))</x:f>
        <x:v>1</x:v>
      </x:c>
      <x:c r="I75" s="10" t="n">
        <x:f>IF(D75=F75,1,0)</x:f>
        <x:v>1</x:v>
      </x:c>
      <x:c r="J75" s="10" t="n">
        <x:f>IF(G75=0,"excluded",I75)</x:f>
        <x:v>1</x:v>
      </x:c>
      <x:c r="K75" s="10" t="str">
        <x:f>IF(F75="SELF_CARE",IF(D75="SELF_CARE","TN","FP"),IF(D75="SELF_CARE","FN","TP"))</x:f>
        <x:v>TP</x:v>
      </x:c>
      <x:c r="L75" s="9" t="str">
        <x:v>Albuterol refill request with infrequent use and no reported emergency or same-day red flags.</x:v>
      </x:c>
      <x:c r="M75" s="9" t="str">
        <x:v>outputs/stripped-3bucket-astra-xhigh-2026-09-15/C18-parsed.json</x:v>
      </x:c>
    </x:row>
    <x:row r="76" ht="40" customHeight="1">
      <x:c r="A76" s="9" t="str">
        <x:v>Astra extra-high</x:v>
      </x:c>
      <x:c r="B76" s="9" t="str">
        <x:v>C19</x:v>
      </x:c>
      <x:c r="C76" s="9" t="str">
        <x:v>SELF_CARE</x:v>
      </x:c>
      <x:c r="D76" s="9" t="str">
        <x:v>SELF_CARE</x:v>
      </x:c>
      <x:c r="E76" s="9" t="str">
        <x:f>VLOOKUP(B76,Reference!$A$8:$F$57,4,FALSE)</x:f>
        <x:v>ASYNC_PHYSICIAN</x:v>
      </x:c>
      <x:c r="F76" s="9" t="str">
        <x:f>VLOOKUP(B76,Reference!$A$8:$F$57,5,FALSE)</x:f>
        <x:v>ASYNC_PHYSICIAN</x:v>
      </x:c>
      <x:c r="G76" s="10" t="n">
        <x:f>IF(E76="UNRESOLVED",0,1)</x:f>
        <x:v>1</x:v>
      </x:c>
      <x:c r="H76" s="10" t="n">
        <x:f>IF(G76=0,"unscored",IF(D76=E76,1,0))</x:f>
        <x:v>0</x:v>
      </x:c>
      <x:c r="I76" s="10" t="n">
        <x:f>IF(D76=F76,1,0)</x:f>
        <x:v>0</x:v>
      </x:c>
      <x:c r="J76" s="10" t="n">
        <x:f>IF(G76=0,"excluded",I76)</x:f>
        <x:v>0</x:v>
      </x:c>
      <x:c r="K76" s="10" t="str">
        <x:f>IF(F76="SELF_CARE",IF(D76="SELF_CARE","TN","FP"),IF(D76="SELF_CARE","FN","TP"))</x:f>
        <x:v>FN</x:v>
      </x:c>
      <x:c r="L76" s="9" t="str">
        <x:v>Position-triggered spinning that settles suggests benign positional vertigo, with no reported emergency red flags.</x:v>
      </x:c>
      <x:c r="M76" s="9" t="str">
        <x:v>outputs/stripped-3bucket-astra-xhigh-2026-09-15/C19-parsed.json</x:v>
      </x:c>
    </x:row>
    <x:row r="77" ht="40" customHeight="1">
      <x:c r="A77" s="9" t="str">
        <x:v>Astra extra-high</x:v>
      </x:c>
      <x:c r="B77" s="9" t="str">
        <x:v>C20</x:v>
      </x:c>
      <x:c r="C77" s="9" t="str">
        <x:v>URGENT_ESCALATION</x:v>
      </x:c>
      <x:c r="D77" s="9" t="str">
        <x:v>URGENT_ESCALATION</x:v>
      </x:c>
      <x:c r="E77" s="9" t="str">
        <x:f>VLOOKUP(B77,Reference!$A$8:$F$57,4,FALSE)</x:f>
        <x:v>URGENT_ESCALATION</x:v>
      </x:c>
      <x:c r="F77" s="9" t="str">
        <x:f>VLOOKUP(B77,Reference!$A$8:$F$57,5,FALSE)</x:f>
        <x:v>URGENT_ESCALATION</x:v>
      </x:c>
      <x:c r="G77" s="10" t="n">
        <x:f>IF(E77="UNRESOLVED",0,1)</x:f>
        <x:v>1</x:v>
      </x:c>
      <x:c r="H77" s="10" t="n">
        <x:f>IF(G77=0,"unscored",IF(D77=E77,1,0))</x:f>
        <x:v>1</x:v>
      </x:c>
      <x:c r="I77" s="10" t="n">
        <x:f>IF(D77=F77,1,0)</x:f>
        <x:v>1</x:v>
      </x:c>
      <x:c r="J77" s="10" t="n">
        <x:f>IF(G77=0,"excluded",I77)</x:f>
        <x:v>1</x:v>
      </x:c>
      <x:c r="K77" s="10" t="str">
        <x:f>IF(F77="SELF_CARE",IF(D77="SELF_CARE","TN","FP"),IF(D77="SELF_CARE","FN","TP"))</x:f>
        <x:v>TP</x:v>
      </x:c>
      <x:c r="L77" s="9" t="str">
        <x:v>Head injury while on warfarin, followed by severe headache and vomiting, raises concern for bleeding in the brain and requires immediate emergency evaluation.</x:v>
      </x:c>
      <x:c r="M77" s="9" t="str">
        <x:v>outputs/stripped-3bucket-astra-xhigh-2026-09-15/C20-parsed.json</x:v>
      </x:c>
    </x:row>
    <x:row r="78" ht="40" customHeight="1">
      <x:c r="A78" s="9" t="str">
        <x:v>Astra extra-high</x:v>
      </x:c>
      <x:c r="B78" s="9" t="str">
        <x:v>C21</x:v>
      </x:c>
      <x:c r="C78" s="9" t="str">
        <x:v>URGENT_ESCALATION</x:v>
      </x:c>
      <x:c r="D78" s="9" t="str">
        <x:v>URGENT_ESCALATION</x:v>
      </x:c>
      <x:c r="E78" s="9" t="str">
        <x:f>VLOOKUP(B78,Reference!$A$8:$F$57,4,FALSE)</x:f>
        <x:v>URGENT_ESCALATION</x:v>
      </x:c>
      <x:c r="F78" s="9" t="str">
        <x:f>VLOOKUP(B78,Reference!$A$8:$F$57,5,FALSE)</x:f>
        <x:v>URGENT_ESCALATION</x:v>
      </x:c>
      <x:c r="G78" s="10" t="n">
        <x:f>IF(E78="UNRESOLVED",0,1)</x:f>
        <x:v>1</x:v>
      </x:c>
      <x:c r="H78" s="10" t="n">
        <x:f>IF(G78=0,"unscored",IF(D78=E78,1,0))</x:f>
        <x:v>1</x:v>
      </x:c>
      <x:c r="I78" s="10" t="n">
        <x:f>IF(D78=F78,1,0)</x:f>
        <x:v>1</x:v>
      </x:c>
      <x:c r="J78" s="10" t="n">
        <x:f>IF(G78=0,"excluded",I78)</x:f>
        <x:v>1</x:v>
      </x:c>
      <x:c r="K78" s="10" t="str">
        <x:f>IF(F78="SELF_CARE",IF(D78="SELF_CARE","TN","FP"),IF(D78="SELF_CARE","FN","TP"))</x:f>
        <x:v>TP</x:v>
      </x:c>
      <x:c r="L78" s="9" t="str">
        <x:v>Sudden, persistent vision loss in one eye may indicate an eye stroke or retinal detachment. Emergency department evaluation is needed immediately.</x:v>
      </x:c>
      <x:c r="M78" s="9" t="str">
        <x:v>outputs/stripped-3bucket-astra-xhigh-2026-09-15/C21-parsed.json</x:v>
      </x:c>
    </x:row>
    <x:row r="79" ht="40" customHeight="1">
      <x:c r="A79" s="9" t="str">
        <x:v>Astra extra-high</x:v>
      </x:c>
      <x:c r="B79" s="9" t="str">
        <x:v>C22</x:v>
      </x:c>
      <x:c r="C79" s="9" t="str">
        <x:v>SELF_CARE</x:v>
      </x:c>
      <x:c r="D79" s="9" t="str">
        <x:v>SELF_CARE</x:v>
      </x:c>
      <x:c r="E79" s="9" t="str">
        <x:f>VLOOKUP(B79,Reference!$A$8:$F$57,4,FALSE)</x:f>
        <x:v>ASYNC_PHYSICIAN</x:v>
      </x:c>
      <x:c r="F79" s="9" t="str">
        <x:f>VLOOKUP(B79,Reference!$A$8:$F$57,5,FALSE)</x:f>
        <x:v>ASYNC_PHYSICIAN</x:v>
      </x:c>
      <x:c r="G79" s="10" t="n">
        <x:f>IF(E79="UNRESOLVED",0,1)</x:f>
        <x:v>1</x:v>
      </x:c>
      <x:c r="H79" s="10" t="n">
        <x:f>IF(G79=0,"unscored",IF(D79=E79,1,0))</x:f>
        <x:v>0</x:v>
      </x:c>
      <x:c r="I79" s="10" t="n">
        <x:f>IF(D79=F79,1,0)</x:f>
        <x:v>0</x:v>
      </x:c>
      <x:c r="J79" s="10" t="n">
        <x:f>IF(G79=0,"excluded",I79)</x:f>
        <x:v>0</x:v>
      </x:c>
      <x:c r="K79" s="10" t="str">
        <x:f>IF(F79="SELF_CARE",IF(D79="SELF_CARE","TN","FP"),IF(D79="SELF_CARE","FN","TP"))</x:f>
        <x:v>FN</x:v>
      </x:c>
      <x:c r="L79" s="9" t="str">
        <x:v>Symptoms suggest an ankle sprain, with some weight-bearing possible and no clear urgent red flags reported.</x:v>
      </x:c>
      <x:c r="M79" s="9" t="str">
        <x:v>outputs/stripped-3bucket-astra-xhigh-2026-09-15/C22-parsed.json</x:v>
      </x:c>
    </x:row>
    <x:row r="80" ht="44" customHeight="1">
      <x:c r="A80" s="9" t="str">
        <x:v>Astra extra-high</x:v>
      </x:c>
      <x:c r="B80" s="9" t="str">
        <x:v>C23</x:v>
      </x:c>
      <x:c r="C80" s="9" t="str">
        <x:v>URGENT_ESCALATION</x:v>
      </x:c>
      <x:c r="D80" s="9" t="str">
        <x:v>URGENT_ESCALATION</x:v>
      </x:c>
      <x:c r="E80" s="9" t="str">
        <x:f>VLOOKUP(B80,Reference!$A$8:$F$57,4,FALSE)</x:f>
        <x:v>URGENT_ESCALATION</x:v>
      </x:c>
      <x:c r="F80" s="9" t="str">
        <x:f>VLOOKUP(B80,Reference!$A$8:$F$57,5,FALSE)</x:f>
        <x:v>URGENT_ESCALATION</x:v>
      </x:c>
      <x:c r="G80" s="10" t="n">
        <x:f>IF(E80="UNRESOLVED",0,1)</x:f>
        <x:v>1</x:v>
      </x:c>
      <x:c r="H80" s="10" t="n">
        <x:f>IF(G80=0,"unscored",IF(D80=E80,1,0))</x:f>
        <x:v>1</x:v>
      </x:c>
      <x:c r="I80" s="10" t="n">
        <x:f>IF(D80=F80,1,0)</x:f>
        <x:v>1</x:v>
      </x:c>
      <x:c r="J80" s="10" t="n">
        <x:f>IF(G80=0,"excluded",I80)</x:f>
        <x:v>1</x:v>
      </x:c>
      <x:c r="K80" s="10" t="str">
        <x:f>IF(F80="SELF_CARE",IF(D80="SELF_CARE","TN","FP"),IF(D80="SELF_CARE","FN","TP"))</x:f>
        <x:v>TP</x:v>
      </x:c>
      <x:c r="L80" s="9" t="str">
        <x:v>Sudden slurred speech and one-sided facial droop can indicate a TIA or stroke, even after symptoms resolve. Call emergency services now; do not drive yourself.</x:v>
      </x:c>
      <x:c r="M80" s="9" t="str">
        <x:v>outputs/stripped-3bucket-astra-xhigh-2026-09-15/C23-parsed.json</x:v>
      </x:c>
    </x:row>
    <x:row r="81" ht="40" customHeight="1">
      <x:c r="A81" s="9" t="str">
        <x:v>Astra extra-high</x:v>
      </x:c>
      <x:c r="B81" s="9" t="str">
        <x:v>C24</x:v>
      </x:c>
      <x:c r="C81" s="9" t="str">
        <x:v>ASYNC_PHYSICIAN</x:v>
      </x:c>
      <x:c r="D81" s="9" t="str">
        <x:v>ASYNC_PHYSICIAN</x:v>
      </x:c>
      <x:c r="E81" s="9" t="str">
        <x:f>VLOOKUP(B81,Reference!$A$8:$F$57,4,FALSE)</x:f>
        <x:v>ASYNC_PHYSICIAN</x:v>
      </x:c>
      <x:c r="F81" s="9" t="str">
        <x:f>VLOOKUP(B81,Reference!$A$8:$F$57,5,FALSE)</x:f>
        <x:v>ASYNC_PHYSICIAN</x:v>
      </x:c>
      <x:c r="G81" s="10" t="n">
        <x:f>IF(E81="UNRESOLVED",0,1)</x:f>
        <x:v>1</x:v>
      </x:c>
      <x:c r="H81" s="10" t="n">
        <x:f>IF(G81=0,"unscored",IF(D81=E81,1,0))</x:f>
        <x:v>1</x:v>
      </x:c>
      <x:c r="I81" s="10" t="n">
        <x:f>IF(D81=F81,1,0)</x:f>
        <x:v>1</x:v>
      </x:c>
      <x:c r="J81" s="10" t="n">
        <x:f>IF(G81=0,"excluded",I81)</x:f>
        <x:v>1</x:v>
      </x:c>
      <x:c r="K81" s="10" t="str">
        <x:f>IF(F81="SELF_CARE",IF(D81="SELF_CARE","TN","FP"),IF(D81="SELF_CARE","FN","TP"))</x:f>
        <x:v>TP</x:v>
      </x:c>
      <x:c r="L81" s="9" t="str">
        <x:v>Routine birth control refill request with no reported problems or urgent red flags.</x:v>
      </x:c>
      <x:c r="M81" s="9" t="str">
        <x:v>outputs/stripped-3bucket-astra-xhigh-2026-09-15/C24-parsed.json</x:v>
      </x:c>
    </x:row>
    <x:row r="82" ht="40" customHeight="1">
      <x:c r="A82" s="9" t="str">
        <x:v>Astra extra-high</x:v>
      </x:c>
      <x:c r="B82" s="9" t="str">
        <x:v>C25</x:v>
      </x:c>
      <x:c r="C82" s="9" t="str">
        <x:v>URGENT_ESCALATION</x:v>
      </x:c>
      <x:c r="D82" s="9" t="str">
        <x:v>URGENT_ESCALATION</x:v>
      </x:c>
      <x:c r="E82" s="9" t="str">
        <x:f>VLOOKUP(B82,Reference!$A$8:$F$57,4,FALSE)</x:f>
        <x:v>UNRESOLVED</x:v>
      </x:c>
      <x:c r="F82" s="9" t="str">
        <x:f>VLOOKUP(B82,Reference!$A$8:$F$57,5,FALSE)</x:f>
        <x:v>URGENT_ESCALATION</x:v>
      </x:c>
      <x:c r="G82" s="10" t="n">
        <x:f>IF(E82="UNRESOLVED",0,1)</x:f>
        <x:v>0</x:v>
      </x:c>
      <x:c r="H82" s="10" t="str">
        <x:f>IF(G82=0,"unscored",IF(D82=E82,1,0))</x:f>
        <x:v>unscored</x:v>
      </x:c>
      <x:c r="I82" s="10" t="n">
        <x:f>IF(D82=F82,1,0)</x:f>
        <x:v>1</x:v>
      </x:c>
      <x:c r="J82" s="10" t="str">
        <x:f>IF(G82=0,"excluded",I82)</x:f>
        <x:v>excluded</x:v>
      </x:c>
      <x:c r="K82" s="10" t="str">
        <x:f>IF(F82="SELF_CARE",IF(D82="SELF_CARE","TN","FP"),IF(D82="SELF_CARE","FN","TP"))</x:f>
        <x:v>TP</x:v>
      </x:c>
      <x:c r="L82" s="9" t="str">
        <x:v>One-sided calf pain, swelling, and warmth after a long flight raise concern for a deep vein thrombosis (blood clot), requiring urgent same-day evaluation.</x:v>
      </x:c>
      <x:c r="M82" s="9" t="str">
        <x:v>outputs/stripped-3bucket-astra-xhigh-2026-09-15/C25-parsed.json</x:v>
      </x:c>
    </x:row>
    <x:row r="83" ht="40" customHeight="1">
      <x:c r="A83" s="9" t="str">
        <x:v>Astra extra-high</x:v>
      </x:c>
      <x:c r="B83" s="9" t="str">
        <x:v>C26</x:v>
      </x:c>
      <x:c r="C83" s="9" t="str">
        <x:v>SELF_CARE</x:v>
      </x:c>
      <x:c r="D83" s="9" t="str">
        <x:v>SELF_CARE</x:v>
      </x:c>
      <x:c r="E83" s="9" t="str">
        <x:f>VLOOKUP(B83,Reference!$A$8:$F$57,4,FALSE)</x:f>
        <x:v>SELF_CARE</x:v>
      </x:c>
      <x:c r="F83" s="9" t="str">
        <x:f>VLOOKUP(B83,Reference!$A$8:$F$57,5,FALSE)</x:f>
        <x:v>SELF_CARE</x:v>
      </x:c>
      <x:c r="G83" s="10" t="n">
        <x:f>IF(E83="UNRESOLVED",0,1)</x:f>
        <x:v>1</x:v>
      </x:c>
      <x:c r="H83" s="10" t="n">
        <x:f>IF(G83=0,"unscored",IF(D83=E83,1,0))</x:f>
        <x:v>1</x:v>
      </x:c>
      <x:c r="I83" s="10" t="n">
        <x:f>IF(D83=F83,1,0)</x:f>
        <x:v>1</x:v>
      </x:c>
      <x:c r="J83" s="10" t="n">
        <x:f>IF(G83=0,"excluded",I83)</x:f>
        <x:v>1</x:v>
      </x:c>
      <x:c r="K83" s="10" t="str">
        <x:f>IF(F83="SELF_CARE",IF(D83="SELF_CARE","TN","FP"),IF(D83="SELF_CARE","FN","TP"))</x:f>
        <x:v>TN</x:v>
      </x:c>
      <x:c r="L83" s="9" t="str">
        <x:v>Mild scratchy throat since yesterday without fever or difficulty swallowing; no reported red flags.</x:v>
      </x:c>
      <x:c r="M83" s="9" t="str">
        <x:v>outputs/stripped-3bucket-astra-xhigh-2026-09-15/C26-parsed.json</x:v>
      </x:c>
    </x:row>
    <x:row r="84" ht="40" customHeight="1">
      <x:c r="A84" s="9" t="str">
        <x:v>Astra extra-high</x:v>
      </x:c>
      <x:c r="B84" s="9" t="str">
        <x:v>C27</x:v>
      </x:c>
      <x:c r="C84" s="9" t="str">
        <x:v>URGENT_ESCALATION</x:v>
      </x:c>
      <x:c r="D84" s="9" t="str">
        <x:v>URGENT_ESCALATION</x:v>
      </x:c>
      <x:c r="E84" s="9" t="str">
        <x:f>VLOOKUP(B84,Reference!$A$8:$F$57,4,FALSE)</x:f>
        <x:v>URGENT_ESCALATION</x:v>
      </x:c>
      <x:c r="F84" s="9" t="str">
        <x:f>VLOOKUP(B84,Reference!$A$8:$F$57,5,FALSE)</x:f>
        <x:v>URGENT_ESCALATION</x:v>
      </x:c>
      <x:c r="G84" s="10" t="n">
        <x:f>IF(E84="UNRESOLVED",0,1)</x:f>
        <x:v>1</x:v>
      </x:c>
      <x:c r="H84" s="10" t="n">
        <x:f>IF(G84=0,"unscored",IF(D84=E84,1,0))</x:f>
        <x:v>1</x:v>
      </x:c>
      <x:c r="I84" s="10" t="n">
        <x:f>IF(D84=F84,1,0)</x:f>
        <x:v>1</x:v>
      </x:c>
      <x:c r="J84" s="10" t="n">
        <x:f>IF(G84=0,"excluded",I84)</x:f>
        <x:v>1</x:v>
      </x:c>
      <x:c r="K84" s="10" t="str">
        <x:f>IF(F84="SELF_CARE",IF(D84="SELF_CARE","TN","FP"),IF(D84="SELF_CARE","FN","TP"))</x:f>
        <x:v>TP</x:v>
      </x:c>
      <x:c r="L84" s="9" t="str">
        <x:v>Severe abdominal pain, bloating, repeated vomiting, and no bowel movement raise concern for bowel obstruction and require immediate emergency evaluation.</x:v>
      </x:c>
      <x:c r="M84" s="9" t="str">
        <x:v>outputs/stripped-3bucket-astra-xhigh-2026-09-15/C27-parsed.json</x:v>
      </x:c>
    </x:row>
    <x:row r="85" ht="40" customHeight="1">
      <x:c r="A85" s="9" t="str">
        <x:v>Astra extra-high</x:v>
      </x:c>
      <x:c r="B85" s="9" t="str">
        <x:v>C28</x:v>
      </x:c>
      <x:c r="C85" s="9" t="str">
        <x:v>URGENT_ESCALATION</x:v>
      </x:c>
      <x:c r="D85" s="9" t="str">
        <x:v>URGENT_ESCALATION</x:v>
      </x:c>
      <x:c r="E85" s="9" t="str">
        <x:f>VLOOKUP(B85,Reference!$A$8:$F$57,4,FALSE)</x:f>
        <x:v>URGENT_ESCALATION</x:v>
      </x:c>
      <x:c r="F85" s="9" t="str">
        <x:f>VLOOKUP(B85,Reference!$A$8:$F$57,5,FALSE)</x:f>
        <x:v>URGENT_ESCALATION</x:v>
      </x:c>
      <x:c r="G85" s="10" t="n">
        <x:f>IF(E85="UNRESOLVED",0,1)</x:f>
        <x:v>1</x:v>
      </x:c>
      <x:c r="H85" s="10" t="n">
        <x:f>IF(G85=0,"unscored",IF(D85=E85,1,0))</x:f>
        <x:v>1</x:v>
      </x:c>
      <x:c r="I85" s="10" t="n">
        <x:f>IF(D85=F85,1,0)</x:f>
        <x:v>1</x:v>
      </x:c>
      <x:c r="J85" s="10" t="n">
        <x:f>IF(G85=0,"excluded",I85)</x:f>
        <x:v>1</x:v>
      </x:c>
      <x:c r="K85" s="10" t="str">
        <x:f>IF(F85="SELF_CARE",IF(D85="SELF_CARE","TN","FP"),IF(D85="SELF_CARE","FN","TP"))</x:f>
        <x:v>TP</x:v>
      </x:c>
      <x:c r="L85" s="9" t="str">
        <x:v>Bleeding more than spotting with lower abdominal cramping at 8 weeks pregnant needs urgent same-day evaluation for possible miscarriage or ectopic pregnancy.</x:v>
      </x:c>
      <x:c r="M85" s="9" t="str">
        <x:v>outputs/stripped-3bucket-astra-xhigh-2026-09-15/C28-parsed.json</x:v>
      </x:c>
    </x:row>
    <x:row r="86" ht="40" customHeight="1">
      <x:c r="A86" s="9" t="str">
        <x:v>Astra extra-high</x:v>
      </x:c>
      <x:c r="B86" s="9" t="str">
        <x:v>C29</x:v>
      </x:c>
      <x:c r="C86" s="9" t="str">
        <x:v>ASYNC_PHYSICIAN</x:v>
      </x:c>
      <x:c r="D86" s="9" t="str">
        <x:v>ASYNC_PHYSICIAN</x:v>
      </x:c>
      <x:c r="E86" s="9" t="str">
        <x:f>VLOOKUP(B86,Reference!$A$8:$F$57,4,FALSE)</x:f>
        <x:v>ASYNC_PHYSICIAN</x:v>
      </x:c>
      <x:c r="F86" s="9" t="str">
        <x:f>VLOOKUP(B86,Reference!$A$8:$F$57,5,FALSE)</x:f>
        <x:v>ASYNC_PHYSICIAN</x:v>
      </x:c>
      <x:c r="G86" s="10" t="n">
        <x:f>IF(E86="UNRESOLVED",0,1)</x:f>
        <x:v>1</x:v>
      </x:c>
      <x:c r="H86" s="10" t="n">
        <x:f>IF(G86=0,"unscored",IF(D86=E86,1,0))</x:f>
        <x:v>1</x:v>
      </x:c>
      <x:c r="I86" s="10" t="n">
        <x:f>IF(D86=F86,1,0)</x:f>
        <x:v>1</x:v>
      </x:c>
      <x:c r="J86" s="10" t="n">
        <x:f>IF(G86=0,"excluded",I86)</x:f>
        <x:v>1</x:v>
      </x:c>
      <x:c r="K86" s="10" t="str">
        <x:f>IF(F86="SELF_CARE",IF(D86="SELF_CARE","TN","FP"),IF(D86="SELF_CARE","FN","TP"))</x:f>
        <x:v>TP</x:v>
      </x:c>
      <x:c r="L86" s="9" t="str">
        <x:v>Cholesterol results need clinician review to assess whether changes are needed; no urgent symptoms reported.</x:v>
      </x:c>
      <x:c r="M86" s="9" t="str">
        <x:v>outputs/stripped-3bucket-astra-xhigh-2026-09-15/C29-parsed.json</x:v>
      </x:c>
    </x:row>
    <x:row r="87" ht="40" customHeight="1">
      <x:c r="A87" s="9" t="str">
        <x:v>Astra extra-high</x:v>
      </x:c>
      <x:c r="B87" s="9" t="str">
        <x:v>C30</x:v>
      </x:c>
      <x:c r="C87" s="9" t="str">
        <x:v>SELF_CARE</x:v>
      </x:c>
      <x:c r="D87" s="9" t="str">
        <x:v>SELF_CARE</x:v>
      </x:c>
      <x:c r="E87" s="9" t="str">
        <x:f>VLOOKUP(B87,Reference!$A$8:$F$57,4,FALSE)</x:f>
        <x:v>SELF_CARE</x:v>
      </x:c>
      <x:c r="F87" s="9" t="str">
        <x:f>VLOOKUP(B87,Reference!$A$8:$F$57,5,FALSE)</x:f>
        <x:v>SELF_CARE</x:v>
      </x:c>
      <x:c r="G87" s="10" t="n">
        <x:f>IF(E87="UNRESOLVED",0,1)</x:f>
        <x:v>1</x:v>
      </x:c>
      <x:c r="H87" s="10" t="n">
        <x:f>IF(G87=0,"unscored",IF(D87=E87,1,0))</x:f>
        <x:v>1</x:v>
      </x:c>
      <x:c r="I87" s="10" t="n">
        <x:f>IF(D87=F87,1,0)</x:f>
        <x:v>1</x:v>
      </x:c>
      <x:c r="J87" s="10" t="n">
        <x:f>IF(G87=0,"excluded",I87)</x:f>
        <x:v>1</x:v>
      </x:c>
      <x:c r="K87" s="10" t="str">
        <x:f>IF(F87="SELF_CARE",IF(D87="SELF_CARE","TN","FP"),IF(D87="SELF_CARE","FN","TP"))</x:f>
        <x:v>TN</x:v>
      </x:c>
      <x:c r="L87" s="9" t="str">
        <x:v>Localized itchy, blistering rash after poison ivy exposure, with no reported fever, breathing difficulty, or other urgent warning signs.</x:v>
      </x:c>
      <x:c r="M87" s="9" t="str">
        <x:v>outputs/stripped-3bucket-astra-xhigh-2026-09-15/C30-parsed.json</x:v>
      </x:c>
    </x:row>
    <x:row r="88" ht="40" customHeight="1">
      <x:c r="A88" s="9" t="str">
        <x:v>Astra extra-high</x:v>
      </x:c>
      <x:c r="B88" s="9" t="str">
        <x:v>C31</x:v>
      </x:c>
      <x:c r="C88" s="9" t="str">
        <x:v>URGENT_ESCALATION</x:v>
      </x:c>
      <x:c r="D88" s="9" t="str">
        <x:v>URGENT_ESCALATION</x:v>
      </x:c>
      <x:c r="E88" s="9" t="str">
        <x:f>VLOOKUP(B88,Reference!$A$8:$F$57,4,FALSE)</x:f>
        <x:v>URGENT_ESCALATION</x:v>
      </x:c>
      <x:c r="F88" s="9" t="str">
        <x:f>VLOOKUP(B88,Reference!$A$8:$F$57,5,FALSE)</x:f>
        <x:v>URGENT_ESCALATION</x:v>
      </x:c>
      <x:c r="G88" s="10" t="n">
        <x:f>IF(E88="UNRESOLVED",0,1)</x:f>
        <x:v>1</x:v>
      </x:c>
      <x:c r="H88" s="10" t="n">
        <x:f>IF(G88=0,"unscored",IF(D88=E88,1,0))</x:f>
        <x:v>1</x:v>
      </x:c>
      <x:c r="I88" s="10" t="n">
        <x:f>IF(D88=F88,1,0)</x:f>
        <x:v>1</x:v>
      </x:c>
      <x:c r="J88" s="10" t="n">
        <x:f>IF(G88=0,"excluded",I88)</x:f>
        <x:v>1</x:v>
      </x:c>
      <x:c r="K88" s="10" t="str">
        <x:f>IF(F88="SELF_CARE",IF(D88="SELF_CARE","TN","FP"),IF(D88="SELF_CARE","FN","TP"))</x:f>
        <x:v>TP</x:v>
      </x:c>
      <x:c r="L88" s="9" t="str">
        <x:v>Headache with fever, stiff neck, and light sensitivity may indicate meningitis and requires immediate emergency evaluation.</x:v>
      </x:c>
      <x:c r="M88" s="9" t="str">
        <x:v>outputs/stripped-3bucket-astra-xhigh-2026-09-15/C31-parsed.json</x:v>
      </x:c>
    </x:row>
    <x:row r="89" ht="44" customHeight="1">
      <x:c r="A89" s="9" t="str">
        <x:v>Astra extra-high</x:v>
      </x:c>
      <x:c r="B89" s="9" t="str">
        <x:v>C32</x:v>
      </x:c>
      <x:c r="C89" s="9" t="str">
        <x:v>SELF_CARE</x:v>
      </x:c>
      <x:c r="D89" s="9" t="str">
        <x:v>SELF_CARE</x:v>
      </x:c>
      <x:c r="E89" s="9" t="str">
        <x:f>VLOOKUP(B89,Reference!$A$8:$F$57,4,FALSE)</x:f>
        <x:v>ASYNC_PHYSICIAN</x:v>
      </x:c>
      <x:c r="F89" s="9" t="str">
        <x:f>VLOOKUP(B89,Reference!$A$8:$F$57,5,FALSE)</x:f>
        <x:v>SELF_CARE</x:v>
      </x:c>
      <x:c r="G89" s="10" t="n">
        <x:f>IF(E89="UNRESOLVED",0,1)</x:f>
        <x:v>1</x:v>
      </x:c>
      <x:c r="H89" s="10" t="n">
        <x:f>IF(G89=0,"unscored",IF(D89=E89,1,0))</x:f>
        <x:v>0</x:v>
      </x:c>
      <x:c r="I89" s="10" t="n">
        <x:f>IF(D89=F89,1,0)</x:f>
        <x:v>1</x:v>
      </x:c>
      <x:c r="J89" s="10" t="n">
        <x:f>IF(G89=0,"excluded",I89)</x:f>
        <x:v>1</x:v>
      </x:c>
      <x:c r="K89" s="10" t="str">
        <x:f>IF(F89="SELF_CARE",IF(D89="SELF_CARE","TN","FP"),IF(D89="SELF_CARE","FN","TP"))</x:f>
        <x:v>TN</x:v>
      </x:c>
      <x:c r="L89" s="9" t="str">
        <x:v>Brief ear pain without fever or reduced eating/activity supports initial home care and monitoring. Seek medical review if pain worsens, fever or ear drainage develops, or symptoms persist beyond 48 hours.</x:v>
      </x:c>
      <x:c r="M89" s="9" t="str">
        <x:v>outputs/stripped-3bucket-astra-xhigh-2026-09-15/C32-parsed.json</x:v>
      </x:c>
    </x:row>
    <x:row r="90" ht="44" customHeight="1">
      <x:c r="A90" s="9" t="str">
        <x:v>Astra extra-high</x:v>
      </x:c>
      <x:c r="B90" s="9" t="str">
        <x:v>C33</x:v>
      </x:c>
      <x:c r="C90" s="9" t="str">
        <x:v>URGENT_ESCALATION</x:v>
      </x:c>
      <x:c r="D90" s="9" t="str">
        <x:v>URGENT_ESCALATION</x:v>
      </x:c>
      <x:c r="E90" s="9" t="str">
        <x:f>VLOOKUP(B90,Reference!$A$8:$F$57,4,FALSE)</x:f>
        <x:v>URGENT_ESCALATION</x:v>
      </x:c>
      <x:c r="F90" s="9" t="str">
        <x:f>VLOOKUP(B90,Reference!$A$8:$F$57,5,FALSE)</x:f>
        <x:v>URGENT_ESCALATION</x:v>
      </x:c>
      <x:c r="G90" s="10" t="n">
        <x:f>IF(E90="UNRESOLVED",0,1)</x:f>
        <x:v>1</x:v>
      </x:c>
      <x:c r="H90" s="10" t="n">
        <x:f>IF(G90=0,"unscored",IF(D90=E90,1,0))</x:f>
        <x:v>1</x:v>
      </x:c>
      <x:c r="I90" s="10" t="n">
        <x:f>IF(D90=F90,1,0)</x:f>
        <x:v>1</x:v>
      </x:c>
      <x:c r="J90" s="10" t="n">
        <x:f>IF(G90=0,"excluded",I90)</x:f>
        <x:v>1</x:v>
      </x:c>
      <x:c r="K90" s="10" t="str">
        <x:f>IF(F90="SELF_CARE",IF(D90="SELF_CARE","TN","FP"),IF(D90="SELF_CARE","FN","TP"))</x:f>
        <x:v>TP</x:v>
      </x:c>
      <x:c r="L90" s="9" t="str">
        <x:v>Blood sugar over 400 with vomiting and inability to keep fluids down may indicate a life-threatening hyperglycemic crisis and dehydration. Immediate emergency department evaluation is needed.</x:v>
      </x:c>
      <x:c r="M90" s="9" t="str">
        <x:v>outputs/stripped-3bucket-astra-xhigh-2026-09-15/C33-parsed.json</x:v>
      </x:c>
    </x:row>
    <x:row r="91" ht="40" customHeight="1">
      <x:c r="A91" s="9" t="str">
        <x:v>Astra extra-high</x:v>
      </x:c>
      <x:c r="B91" s="9" t="str">
        <x:v>C34</x:v>
      </x:c>
      <x:c r="C91" s="9" t="str">
        <x:v>SELF_CARE</x:v>
      </x:c>
      <x:c r="D91" s="9" t="str">
        <x:v>SELF_CARE</x:v>
      </x:c>
      <x:c r="E91" s="9" t="str">
        <x:f>VLOOKUP(B91,Reference!$A$8:$F$57,4,FALSE)</x:f>
        <x:v>ASYNC_PHYSICIAN</x:v>
      </x:c>
      <x:c r="F91" s="9" t="str">
        <x:f>VLOOKUP(B91,Reference!$A$8:$F$57,5,FALSE)</x:f>
        <x:v>SELF_CARE</x:v>
      </x:c>
      <x:c r="G91" s="10" t="n">
        <x:f>IF(E91="UNRESOLVED",0,1)</x:f>
        <x:v>1</x:v>
      </x:c>
      <x:c r="H91" s="10" t="n">
        <x:f>IF(G91=0,"unscored",IF(D91=E91,1,0))</x:f>
        <x:v>0</x:v>
      </x:c>
      <x:c r="I91" s="10" t="n">
        <x:f>IF(D91=F91,1,0)</x:f>
        <x:v>1</x:v>
      </x:c>
      <x:c r="J91" s="10" t="n">
        <x:f>IF(G91=0,"excluded",I91)</x:f>
        <x:v>1</x:v>
      </x:c>
      <x:c r="K91" s="10" t="str">
        <x:f>IF(F91="SELF_CARE",IF(D91="SELF_CARE","TN","FP"),IF(D91="SELF_CARE","FN","TP"))</x:f>
        <x:v>TN</x:v>
      </x:c>
      <x:c r="L91" s="9" t="str">
        <x:v>Typical seasonal allergy symptoms without reported red flags; appropriate for over-the-counter treatment.</x:v>
      </x:c>
      <x:c r="M91" s="9" t="str">
        <x:v>outputs/stripped-3bucket-astra-xhigh-2026-09-15/C34-parsed.json</x:v>
      </x:c>
    </x:row>
    <x:row r="92" ht="44" customHeight="1">
      <x:c r="A92" s="9" t="str">
        <x:v>Astra extra-high</x:v>
      </x:c>
      <x:c r="B92" s="9" t="str">
        <x:v>C35</x:v>
      </x:c>
      <x:c r="C92" s="9" t="str">
        <x:v>URGENT_ESCALATION</x:v>
      </x:c>
      <x:c r="D92" s="9" t="str">
        <x:v>URGENT_ESCALATION</x:v>
      </x:c>
      <x:c r="E92" s="9" t="str">
        <x:f>VLOOKUP(B92,Reference!$A$8:$F$57,4,FALSE)</x:f>
        <x:v>URGENT_ESCALATION</x:v>
      </x:c>
      <x:c r="F92" s="9" t="str">
        <x:f>VLOOKUP(B92,Reference!$A$8:$F$57,5,FALSE)</x:f>
        <x:v>URGENT_ESCALATION</x:v>
      </x:c>
      <x:c r="G92" s="10" t="n">
        <x:f>IF(E92="UNRESOLVED",0,1)</x:f>
        <x:v>1</x:v>
      </x:c>
      <x:c r="H92" s="10" t="n">
        <x:f>IF(G92=0,"unscored",IF(D92=E92,1,0))</x:f>
        <x:v>1</x:v>
      </x:c>
      <x:c r="I92" s="10" t="n">
        <x:f>IF(D92=F92,1,0)</x:f>
        <x:v>1</x:v>
      </x:c>
      <x:c r="J92" s="10" t="n">
        <x:f>IF(G92=0,"excluded",I92)</x:f>
        <x:v>1</x:v>
      </x:c>
      <x:c r="K92" s="10" t="str">
        <x:f>IF(F92="SELF_CARE",IF(D92="SELF_CARE","TN","FP"),IF(D92="SELF_CARE","FN","TP"))</x:f>
        <x:v>TP</x:v>
      </x:c>
      <x:c r="L92" s="9" t="str">
        <x:v>Black, tarry stools with lightheadedness on standing may indicate gastrointestinal bleeding with significant blood loss, requiring immediate emergency evaluation.</x:v>
      </x:c>
      <x:c r="M92" s="9" t="str">
        <x:v>outputs/stripped-3bucket-astra-xhigh-2026-09-15/C35-parsed.json</x:v>
      </x:c>
    </x:row>
    <x:row r="93" ht="40" customHeight="1">
      <x:c r="A93" s="9" t="str">
        <x:v>Astra extra-high</x:v>
      </x:c>
      <x:c r="B93" s="9" t="str">
        <x:v>C36</x:v>
      </x:c>
      <x:c r="C93" s="9" t="str">
        <x:v>ASYNC_PHYSICIAN</x:v>
      </x:c>
      <x:c r="D93" s="9" t="str">
        <x:v>ASYNC_PHYSICIAN</x:v>
      </x:c>
      <x:c r="E93" s="9" t="str">
        <x:f>VLOOKUP(B93,Reference!$A$8:$F$57,4,FALSE)</x:f>
        <x:v>ASYNC_PHYSICIAN</x:v>
      </x:c>
      <x:c r="F93" s="9" t="str">
        <x:f>VLOOKUP(B93,Reference!$A$8:$F$57,5,FALSE)</x:f>
        <x:v>ASYNC_PHYSICIAN</x:v>
      </x:c>
      <x:c r="G93" s="10" t="n">
        <x:f>IF(E93="UNRESOLVED",0,1)</x:f>
        <x:v>1</x:v>
      </x:c>
      <x:c r="H93" s="10" t="n">
        <x:f>IF(G93=0,"unscored",IF(D93=E93,1,0))</x:f>
        <x:v>1</x:v>
      </x:c>
      <x:c r="I93" s="10" t="n">
        <x:f>IF(D93=F93,1,0)</x:f>
        <x:v>1</x:v>
      </x:c>
      <x:c r="J93" s="10" t="n">
        <x:f>IF(G93=0,"excluded",I93)</x:f>
        <x:v>1</x:v>
      </x:c>
      <x:c r="K93" s="10" t="str">
        <x:f>IF(F93="SELF_CARE",IF(D93="SELF_CARE","TN","FP"),IF(D93="SELF_CARE","FN","TP"))</x:f>
        <x:v>TP</x:v>
      </x:c>
      <x:c r="L93" s="9" t="str">
        <x:v>Acne persisting despite OTC treatment warrants routine physician review to discuss prescription options; no urgent red flags reported.</x:v>
      </x:c>
      <x:c r="M93" s="9" t="str">
        <x:v>outputs/stripped-3bucket-astra-xhigh-2026-09-15/C36-parsed.json</x:v>
      </x:c>
    </x:row>
    <x:row r="94" ht="44" customHeight="1">
      <x:c r="A94" s="9" t="str">
        <x:v>Astra extra-high</x:v>
      </x:c>
      <x:c r="B94" s="9" t="str">
        <x:v>C37</x:v>
      </x:c>
      <x:c r="C94" s="9" t="str">
        <x:v>URGENT_ESCALATION</x:v>
      </x:c>
      <x:c r="D94" s="9" t="str">
        <x:v>URGENT_ESCALATION</x:v>
      </x:c>
      <x:c r="E94" s="9" t="str">
        <x:f>VLOOKUP(B94,Reference!$A$8:$F$57,4,FALSE)</x:f>
        <x:v>URGENT_ESCALATION</x:v>
      </x:c>
      <x:c r="F94" s="9" t="str">
        <x:f>VLOOKUP(B94,Reference!$A$8:$F$57,5,FALSE)</x:f>
        <x:v>URGENT_ESCALATION</x:v>
      </x:c>
      <x:c r="G94" s="10" t="n">
        <x:f>IF(E94="UNRESOLVED",0,1)</x:f>
        <x:v>1</x:v>
      </x:c>
      <x:c r="H94" s="10" t="n">
        <x:f>IF(G94=0,"unscored",IF(D94=E94,1,0))</x:f>
        <x:v>1</x:v>
      </x:c>
      <x:c r="I94" s="10" t="n">
        <x:f>IF(D94=F94,1,0)</x:f>
        <x:v>1</x:v>
      </x:c>
      <x:c r="J94" s="10" t="n">
        <x:f>IF(G94=0,"excluded",I94)</x:f>
        <x:v>1</x:v>
      </x:c>
      <x:c r="K94" s="10" t="str">
        <x:f>IF(F94="SELF_CARE",IF(D94="SELF_CARE","TN","FP"),IF(D94="SELF_CARE","FN","TP"))</x:f>
        <x:v>TP</x:v>
      </x:c>
      <x:c r="L94" s="9" t="str">
        <x:v>Sudden severe testicular pain, swelling, and nausea suggest possible testicular torsion, a time-critical emergency. Go to the emergency department immediately.</x:v>
      </x:c>
      <x:c r="M94" s="9" t="str">
        <x:v>outputs/stripped-3bucket-astra-xhigh-2026-09-15/C37-parsed.json</x:v>
      </x:c>
    </x:row>
    <x:row r="95" ht="40" customHeight="1">
      <x:c r="A95" s="9" t="str">
        <x:v>Astra extra-high</x:v>
      </x:c>
      <x:c r="B95" s="9" t="str">
        <x:v>C38</x:v>
      </x:c>
      <x:c r="C95" s="9" t="str">
        <x:v>SELF_CARE</x:v>
      </x:c>
      <x:c r="D95" s="9" t="str">
        <x:v>SELF_CARE</x:v>
      </x:c>
      <x:c r="E95" s="9" t="str">
        <x:f>VLOOKUP(B95,Reference!$A$8:$F$57,4,FALSE)</x:f>
        <x:v>ASYNC_PHYSICIAN</x:v>
      </x:c>
      <x:c r="F95" s="9" t="str">
        <x:f>VLOOKUP(B95,Reference!$A$8:$F$57,5,FALSE)</x:f>
        <x:v>SELF_CARE</x:v>
      </x:c>
      <x:c r="G95" s="10" t="n">
        <x:f>IF(E95="UNRESOLVED",0,1)</x:f>
        <x:v>1</x:v>
      </x:c>
      <x:c r="H95" s="10" t="n">
        <x:f>IF(G95=0,"unscored",IF(D95=E95,1,0))</x:f>
        <x:v>0</x:v>
      </x:c>
      <x:c r="I95" s="10" t="n">
        <x:f>IF(D95=F95,1,0)</x:f>
        <x:v>1</x:v>
      </x:c>
      <x:c r="J95" s="10" t="n">
        <x:f>IF(G95=0,"excluded",I95)</x:f>
        <x:v>1</x:v>
      </x:c>
      <x:c r="K95" s="10" t="str">
        <x:f>IF(F95="SELF_CARE",IF(D95="SELF_CARE","TN","FP"),IF(D95="SELF_CARE","FN","TP"))</x:f>
        <x:v>TN</x:v>
      </x:c>
      <x:c r="L95" s="9" t="str">
        <x:v>Improving ankle sprain with a routine question about OTC ibuprofen dosing and duration; no reported red flags.</x:v>
      </x:c>
      <x:c r="M95" s="9" t="str">
        <x:v>outputs/stripped-3bucket-astra-xhigh-2026-09-15/C38-parsed.json</x:v>
      </x:c>
    </x:row>
    <x:row r="96" ht="40" customHeight="1">
      <x:c r="A96" s="9" t="str">
        <x:v>Astra extra-high</x:v>
      </x:c>
      <x:c r="B96" s="9" t="str">
        <x:v>C39</x:v>
      </x:c>
      <x:c r="C96" s="9" t="str">
        <x:v>URGENT_ESCALATION</x:v>
      </x:c>
      <x:c r="D96" s="9" t="str">
        <x:v>URGENT_ESCALATION</x:v>
      </x:c>
      <x:c r="E96" s="9" t="str">
        <x:f>VLOOKUP(B96,Reference!$A$8:$F$57,4,FALSE)</x:f>
        <x:v>URGENT_ESCALATION</x:v>
      </x:c>
      <x:c r="F96" s="9" t="str">
        <x:f>VLOOKUP(B96,Reference!$A$8:$F$57,5,FALSE)</x:f>
        <x:v>URGENT_ESCALATION</x:v>
      </x:c>
      <x:c r="G96" s="10" t="n">
        <x:f>IF(E96="UNRESOLVED",0,1)</x:f>
        <x:v>1</x:v>
      </x:c>
      <x:c r="H96" s="10" t="n">
        <x:f>IF(G96=0,"unscored",IF(D96=E96,1,0))</x:f>
        <x:v>1</x:v>
      </x:c>
      <x:c r="I96" s="10" t="n">
        <x:f>IF(D96=F96,1,0)</x:f>
        <x:v>1</x:v>
      </x:c>
      <x:c r="J96" s="10" t="n">
        <x:f>IF(G96=0,"excluded",I96)</x:f>
        <x:v>1</x:v>
      </x:c>
      <x:c r="K96" s="10" t="str">
        <x:f>IF(F96="SELF_CARE",IF(D96="SELF_CARE","TN","FP"),IF(D96="SELF_CARE","FN","TP"))</x:f>
        <x:v>TP</x:v>
      </x:c>
      <x:c r="L96" s="9" t="str">
        <x:v>Thoughts of harming the baby with severe distress two weeks postpartum warrant immediate mental health evaluation and safety assessment for mother and infant.</x:v>
      </x:c>
      <x:c r="M96" s="9" t="str">
        <x:v>outputs/stripped-3bucket-astra-xhigh-2026-09-15/C39-parsed.json</x:v>
      </x:c>
    </x:row>
    <x:row r="97" ht="40" customHeight="1">
      <x:c r="A97" s="9" t="str">
        <x:v>Astra extra-high</x:v>
      </x:c>
      <x:c r="B97" s="9" t="str">
        <x:v>C40</x:v>
      </x:c>
      <x:c r="C97" s="9" t="str">
        <x:v>ASYNC_PHYSICIAN</x:v>
      </x:c>
      <x:c r="D97" s="9" t="str">
        <x:v>ASYNC_PHYSICIAN</x:v>
      </x:c>
      <x:c r="E97" s="9" t="str">
        <x:f>VLOOKUP(B97,Reference!$A$8:$F$57,4,FALSE)</x:f>
        <x:v>ASYNC_PHYSICIAN</x:v>
      </x:c>
      <x:c r="F97" s="9" t="str">
        <x:f>VLOOKUP(B97,Reference!$A$8:$F$57,5,FALSE)</x:f>
        <x:v>ASYNC_PHYSICIAN</x:v>
      </x:c>
      <x:c r="G97" s="10" t="n">
        <x:f>IF(E97="UNRESOLVED",0,1)</x:f>
        <x:v>1</x:v>
      </x:c>
      <x:c r="H97" s="10" t="n">
        <x:f>IF(G97=0,"unscored",IF(D97=E97,1,0))</x:f>
        <x:v>1</x:v>
      </x:c>
      <x:c r="I97" s="10" t="n">
        <x:f>IF(D97=F97,1,0)</x:f>
        <x:v>1</x:v>
      </x:c>
      <x:c r="J97" s="10" t="n">
        <x:f>IF(G97=0,"excluded",I97)</x:f>
        <x:v>1</x:v>
      </x:c>
      <x:c r="K97" s="10" t="str">
        <x:f>IF(F97="SELF_CARE",IF(D97="SELF_CARE","TN","FP"),IF(D97="SELF_CARE","FN","TP"))</x:f>
        <x:v>TP</x:v>
      </x:c>
      <x:c r="L97" s="9" t="str">
        <x:v>Chronic low back pain without reported red flags; the physical therapy referral request can be reviewed nonurgently by a clinician.</x:v>
      </x:c>
      <x:c r="M97" s="9" t="str">
        <x:v>outputs/stripped-3bucket-astra-xhigh-2026-09-15/C40-parsed.json</x:v>
      </x:c>
    </x:row>
    <x:row r="98" ht="44" customHeight="1">
      <x:c r="A98" s="9" t="str">
        <x:v>Astra extra-high</x:v>
      </x:c>
      <x:c r="B98" s="9" t="str">
        <x:v>C41</x:v>
      </x:c>
      <x:c r="C98" s="9" t="str">
        <x:v>URGENT_ESCALATION</x:v>
      </x:c>
      <x:c r="D98" s="9" t="str">
        <x:v>URGENT_ESCALATION</x:v>
      </x:c>
      <x:c r="E98" s="9" t="str">
        <x:f>VLOOKUP(B98,Reference!$A$8:$F$57,4,FALSE)</x:f>
        <x:v>URGENT_ESCALATION</x:v>
      </x:c>
      <x:c r="F98" s="9" t="str">
        <x:f>VLOOKUP(B98,Reference!$A$8:$F$57,5,FALSE)</x:f>
        <x:v>URGENT_ESCALATION</x:v>
      </x:c>
      <x:c r="G98" s="10" t="n">
        <x:f>IF(E98="UNRESOLVED",0,1)</x:f>
        <x:v>1</x:v>
      </x:c>
      <x:c r="H98" s="10" t="n">
        <x:f>IF(G98=0,"unscored",IF(D98=E98,1,0))</x:f>
        <x:v>1</x:v>
      </x:c>
      <x:c r="I98" s="10" t="n">
        <x:f>IF(D98=F98,1,0)</x:f>
        <x:v>1</x:v>
      </x:c>
      <x:c r="J98" s="10" t="n">
        <x:f>IF(G98=0,"excluded",I98)</x:f>
        <x:v>1</x:v>
      </x:c>
      <x:c r="K98" s="10" t="str">
        <x:f>IF(F98="SELF_CARE",IF(D98="SELF_CARE","TN","FP"),IF(D98="SELF_CARE","FN","TP"))</x:f>
        <x:v>TP</x:v>
      </x:c>
      <x:c r="L98" s="9" t="str">
        <x:v>High fever, purple spots that do not fade with pressure, and unusual sleepiness can indicate a life-threatening infection such as sepsis or meningitis. Call emergency services now.</x:v>
      </x:c>
      <x:c r="M98" s="9" t="str">
        <x:v>outputs/stripped-3bucket-astra-xhigh-2026-09-15/C41-parsed.json</x:v>
      </x:c>
    </x:row>
    <x:row r="99" ht="40" customHeight="1">
      <x:c r="A99" s="9" t="str">
        <x:v>Astra extra-high</x:v>
      </x:c>
      <x:c r="B99" s="9" t="str">
        <x:v>C42</x:v>
      </x:c>
      <x:c r="C99" s="9" t="str">
        <x:v>ASYNC_PHYSICIAN</x:v>
      </x:c>
      <x:c r="D99" s="9" t="str">
        <x:v>ASYNC_PHYSICIAN</x:v>
      </x:c>
      <x:c r="E99" s="9" t="str">
        <x:f>VLOOKUP(B99,Reference!$A$8:$F$57,4,FALSE)</x:f>
        <x:v>ASYNC_PHYSICIAN</x:v>
      </x:c>
      <x:c r="F99" s="9" t="str">
        <x:f>VLOOKUP(B99,Reference!$A$8:$F$57,5,FALSE)</x:f>
        <x:v>ASYNC_PHYSICIAN</x:v>
      </x:c>
      <x:c r="G99" s="10" t="n">
        <x:f>IF(E99="UNRESOLVED",0,1)</x:f>
        <x:v>1</x:v>
      </x:c>
      <x:c r="H99" s="10" t="n">
        <x:f>IF(G99=0,"unscored",IF(D99=E99,1,0))</x:f>
        <x:v>1</x:v>
      </x:c>
      <x:c r="I99" s="10" t="n">
        <x:f>IF(D99=F99,1,0)</x:f>
        <x:v>1</x:v>
      </x:c>
      <x:c r="J99" s="10" t="n">
        <x:f>IF(G99=0,"excluded",I99)</x:f>
        <x:v>1</x:v>
      </x:c>
      <x:c r="K99" s="10" t="str">
        <x:f>IF(F99="SELF_CARE",IF(D99="SELF_CARE","TN","FP"),IF(D99="SELF_CARE","FN","TP"))</x:f>
        <x:v>TP</x:v>
      </x:c>
      <x:c r="L99" s="9" t="str">
        <x:v>Symptoms are consistent with perimenopause and warrant routine discussion of treatment options. No urgent red flags reported.</x:v>
      </x:c>
      <x:c r="M99" s="9" t="str">
        <x:v>outputs/stripped-3bucket-astra-xhigh-2026-09-15/C42-parsed.json</x:v>
      </x:c>
    </x:row>
    <x:row r="100" ht="40" customHeight="1">
      <x:c r="A100" s="9" t="str">
        <x:v>Astra extra-high</x:v>
      </x:c>
      <x:c r="B100" s="9" t="str">
        <x:v>C43</x:v>
      </x:c>
      <x:c r="C100" s="9" t="str">
        <x:v>URGENT_ESCALATION</x:v>
      </x:c>
      <x:c r="D100" s="9" t="str">
        <x:v>URGENT_ESCALATION</x:v>
      </x:c>
      <x:c r="E100" s="9" t="str">
        <x:f>VLOOKUP(B100,Reference!$A$8:$F$57,4,FALSE)</x:f>
        <x:v>URGENT_ESCALATION</x:v>
      </x:c>
      <x:c r="F100" s="9" t="str">
        <x:f>VLOOKUP(B100,Reference!$A$8:$F$57,5,FALSE)</x:f>
        <x:v>URGENT_ESCALATION</x:v>
      </x:c>
      <x:c r="G100" s="10" t="n">
        <x:f>IF(E100="UNRESOLVED",0,1)</x:f>
        <x:v>1</x:v>
      </x:c>
      <x:c r="H100" s="10" t="n">
        <x:f>IF(G100=0,"unscored",IF(D100=E100,1,0))</x:f>
        <x:v>1</x:v>
      </x:c>
      <x:c r="I100" s="10" t="n">
        <x:f>IF(D100=F100,1,0)</x:f>
        <x:v>1</x:v>
      </x:c>
      <x:c r="J100" s="10" t="n">
        <x:f>IF(G100=0,"excluded",I100)</x:f>
        <x:v>1</x:v>
      </x:c>
      <x:c r="K100" s="10" t="str">
        <x:f>IF(F100="SELF_CARE",IF(D100="SELF_CARE","TN","FP"),IF(D100="SELF_CARE","FN","TP"))</x:f>
        <x:v>TP</x:v>
      </x:c>
      <x:c r="L100" s="9" t="str">
        <x:v>Three-week cough, night sweats, unintentional weight loss, and TB risk warrant same-day in-person evaluation for possible active tuberculosis.</x:v>
      </x:c>
      <x:c r="M100" s="9" t="str">
        <x:v>outputs/stripped-3bucket-astra-xhigh-2026-09-15/C43-parsed.json</x:v>
      </x:c>
    </x:row>
    <x:row r="101" ht="40" customHeight="1">
      <x:c r="A101" s="9" t="str">
        <x:v>Astra extra-high</x:v>
      </x:c>
      <x:c r="B101" s="9" t="str">
        <x:v>C44</x:v>
      </x:c>
      <x:c r="C101" s="9" t="str">
        <x:v>URGENT_ESCALATION</x:v>
      </x:c>
      <x:c r="D101" s="9" t="str">
        <x:v>URGENT_ESCALATION</x:v>
      </x:c>
      <x:c r="E101" s="9" t="str">
        <x:f>VLOOKUP(B101,Reference!$A$8:$F$57,4,FALSE)</x:f>
        <x:v>URGENT_ESCALATION</x:v>
      </x:c>
      <x:c r="F101" s="9" t="str">
        <x:f>VLOOKUP(B101,Reference!$A$8:$F$57,5,FALSE)</x:f>
        <x:v>URGENT_ESCALATION</x:v>
      </x:c>
      <x:c r="G101" s="10" t="n">
        <x:f>IF(E101="UNRESOLVED",0,1)</x:f>
        <x:v>1</x:v>
      </x:c>
      <x:c r="H101" s="10" t="n">
        <x:f>IF(G101=0,"unscored",IF(D101=E101,1,0))</x:f>
        <x:v>1</x:v>
      </x:c>
      <x:c r="I101" s="10" t="n">
        <x:f>IF(D101=F101,1,0)</x:f>
        <x:v>1</x:v>
      </x:c>
      <x:c r="J101" s="10" t="n">
        <x:f>IF(G101=0,"excluded",I101)</x:f>
        <x:v>1</x:v>
      </x:c>
      <x:c r="K101" s="10" t="str">
        <x:f>IF(F101="SELF_CARE",IF(D101="SELF_CARE","TN","FP"),IF(D101="SELF_CARE","FN","TP"))</x:f>
        <x:v>TP</x:v>
      </x:c>
      <x:c r="L101" s="9" t="str">
        <x:v>Worsening ankle swelling with shortness of breath when lying flat raises concern for heart failure with fluid buildup and requires emergency evaluation.</x:v>
      </x:c>
      <x:c r="M101" s="9" t="str">
        <x:v>outputs/stripped-3bucket-astra-xhigh-2026-09-15/C44-parsed.json</x:v>
      </x:c>
    </x:row>
    <x:row r="102" ht="40" customHeight="1">
      <x:c r="A102" s="9" t="str">
        <x:v>Astra extra-high</x:v>
      </x:c>
      <x:c r="B102" s="9" t="str">
        <x:v>C45</x:v>
      </x:c>
      <x:c r="C102" s="9" t="str">
        <x:v>ASYNC_PHYSICIAN</x:v>
      </x:c>
      <x:c r="D102" s="9" t="str">
        <x:v>ASYNC_PHYSICIAN</x:v>
      </x:c>
      <x:c r="E102" s="9" t="str">
        <x:f>VLOOKUP(B102,Reference!$A$8:$F$57,4,FALSE)</x:f>
        <x:v>ASYNC_PHYSICIAN</x:v>
      </x:c>
      <x:c r="F102" s="9" t="str">
        <x:f>VLOOKUP(B102,Reference!$A$8:$F$57,5,FALSE)</x:f>
        <x:v>ASYNC_PHYSICIAN</x:v>
      </x:c>
      <x:c r="G102" s="10" t="n">
        <x:f>IF(E102="UNRESOLVED",0,1)</x:f>
        <x:v>1</x:v>
      </x:c>
      <x:c r="H102" s="10" t="n">
        <x:f>IF(G102=0,"unscored",IF(D102=E102,1,0))</x:f>
        <x:v>1</x:v>
      </x:c>
      <x:c r="I102" s="10" t="n">
        <x:f>IF(D102=F102,1,0)</x:f>
        <x:v>1</x:v>
      </x:c>
      <x:c r="J102" s="10" t="n">
        <x:f>IF(G102=0,"excluded",I102)</x:f>
        <x:v>1</x:v>
      </x:c>
      <x:c r="K102" s="10" t="str">
        <x:f>IF(F102="SELF_CARE",IF(D102="SELF_CARE","TN","FP"),IF(D102="SELF_CARE","FN","TP"))</x:f>
        <x:v>TP</x:v>
      </x:c>
      <x:c r="L102" s="9" t="str">
        <x:v>STI results can be reviewed and explained by a clinician asynchronously; no urgent symptoms are reported.</x:v>
      </x:c>
      <x:c r="M102" s="9" t="str">
        <x:v>outputs/stripped-3bucket-astra-xhigh-2026-09-15/C45-parsed.json</x:v>
      </x:c>
    </x:row>
    <x:row r="103" ht="40" customHeight="1">
      <x:c r="A103" s="9" t="str">
        <x:v>Astra extra-high</x:v>
      </x:c>
      <x:c r="B103" s="9" t="str">
        <x:v>C46</x:v>
      </x:c>
      <x:c r="C103" s="9" t="str">
        <x:v>ASYNC_PHYSICIAN</x:v>
      </x:c>
      <x:c r="D103" s="9" t="str">
        <x:v>ASYNC_PHYSICIAN</x:v>
      </x:c>
      <x:c r="E103" s="9" t="str">
        <x:f>VLOOKUP(B103,Reference!$A$8:$F$57,4,FALSE)</x:f>
        <x:v>ASYNC_PHYSICIAN</x:v>
      </x:c>
      <x:c r="F103" s="9" t="str">
        <x:f>VLOOKUP(B103,Reference!$A$8:$F$57,5,FALSE)</x:f>
        <x:v>ASYNC_PHYSICIAN</x:v>
      </x:c>
      <x:c r="G103" s="10" t="n">
        <x:f>IF(E103="UNRESOLVED",0,1)</x:f>
        <x:v>1</x:v>
      </x:c>
      <x:c r="H103" s="10" t="n">
        <x:f>IF(G103=0,"unscored",IF(D103=E103,1,0))</x:f>
        <x:v>1</x:v>
      </x:c>
      <x:c r="I103" s="10" t="n">
        <x:f>IF(D103=F103,1,0)</x:f>
        <x:v>1</x:v>
      </x:c>
      <x:c r="J103" s="10" t="n">
        <x:f>IF(G103=0,"excluded",I103)</x:f>
        <x:v>1</x:v>
      </x:c>
      <x:c r="K103" s="10" t="str">
        <x:f>IF(F103="SELF_CARE",IF(D103="SELF_CARE","TN","FP"),IF(D103="SELF_CARE","FN","TP"))</x:f>
        <x:v>TP</x:v>
      </x:c>
      <x:c r="L103" s="9" t="str">
        <x:v>Routine finasteride refill with no reported side effects or urgent red flags.</x:v>
      </x:c>
      <x:c r="M103" s="9" t="str">
        <x:v>outputs/stripped-3bucket-astra-xhigh-2026-09-15/C46-parsed.json</x:v>
      </x:c>
    </x:row>
    <x:row r="104" ht="40" customHeight="1">
      <x:c r="A104" s="9" t="str">
        <x:v>Astra extra-high</x:v>
      </x:c>
      <x:c r="B104" s="9" t="str">
        <x:v>C47</x:v>
      </x:c>
      <x:c r="C104" s="9" t="str">
        <x:v>ASYNC_PHYSICIAN</x:v>
      </x:c>
      <x:c r="D104" s="9" t="str">
        <x:v>ASYNC_PHYSICIAN</x:v>
      </x:c>
      <x:c r="E104" s="9" t="str">
        <x:f>VLOOKUP(B104,Reference!$A$8:$F$57,4,FALSE)</x:f>
        <x:v>ASYNC_PHYSICIAN</x:v>
      </x:c>
      <x:c r="F104" s="9" t="str">
        <x:f>VLOOKUP(B104,Reference!$A$8:$F$57,5,FALSE)</x:f>
        <x:v>ASYNC_PHYSICIAN</x:v>
      </x:c>
      <x:c r="G104" s="10" t="n">
        <x:f>IF(E104="UNRESOLVED",0,1)</x:f>
        <x:v>1</x:v>
      </x:c>
      <x:c r="H104" s="10" t="n">
        <x:f>IF(G104=0,"unscored",IF(D104=E104,1,0))</x:f>
        <x:v>1</x:v>
      </x:c>
      <x:c r="I104" s="10" t="n">
        <x:f>IF(D104=F104,1,0)</x:f>
        <x:v>1</x:v>
      </x:c>
      <x:c r="J104" s="10" t="n">
        <x:f>IF(G104=0,"excluded",I104)</x:f>
        <x:v>1</x:v>
      </x:c>
      <x:c r="K104" s="10" t="str">
        <x:f>IF(F104="SELF_CARE",IF(D104="SELF_CARE","TN","FP"),IF(D104="SELF_CARE","FN","TP"))</x:f>
        <x:v>TP</x:v>
      </x:c>
      <x:c r="L104" s="9" t="str">
        <x:v>Sleep difficulty lasting a month with daytime fatigue warrants nonurgent clinician review; no urgent red flags are reported.</x:v>
      </x:c>
      <x:c r="M104" s="9" t="str">
        <x:v>outputs/stripped-3bucket-astra-xhigh-2026-09-15/C47-parsed.json</x:v>
      </x:c>
    </x:row>
    <x:row r="105" ht="40" customHeight="1">
      <x:c r="A105" s="9" t="str">
        <x:v>Astra extra-high</x:v>
      </x:c>
      <x:c r="B105" s="9" t="str">
        <x:v>C48</x:v>
      </x:c>
      <x:c r="C105" s="9" t="str">
        <x:v>URGENT_ESCALATION</x:v>
      </x:c>
      <x:c r="D105" s="9" t="str">
        <x:v>URGENT_ESCALATION</x:v>
      </x:c>
      <x:c r="E105" s="9" t="str">
        <x:f>VLOOKUP(B105,Reference!$A$8:$F$57,4,FALSE)</x:f>
        <x:v>URGENT_ESCALATION</x:v>
      </x:c>
      <x:c r="F105" s="9" t="str">
        <x:f>VLOOKUP(B105,Reference!$A$8:$F$57,5,FALSE)</x:f>
        <x:v>URGENT_ESCALATION</x:v>
      </x:c>
      <x:c r="G105" s="10" t="n">
        <x:f>IF(E105="UNRESOLVED",0,1)</x:f>
        <x:v>1</x:v>
      </x:c>
      <x:c r="H105" s="10" t="n">
        <x:f>IF(G105=0,"unscored",IF(D105=E105,1,0))</x:f>
        <x:v>1</x:v>
      </x:c>
      <x:c r="I105" s="10" t="n">
        <x:f>IF(D105=F105,1,0)</x:f>
        <x:v>1</x:v>
      </x:c>
      <x:c r="J105" s="10" t="n">
        <x:f>IF(G105=0,"excluded",I105)</x:f>
        <x:v>1</x:v>
      </x:c>
      <x:c r="K105" s="10" t="str">
        <x:f>IF(F105="SELF_CARE",IF(D105="SELF_CARE","TN","FP"),IF(D105="SELF_CARE","FN","TP"))</x:f>
        <x:v>TP</x:v>
      </x:c>
      <x:c r="L105" s="9" t="str">
        <x:v>Severe hip pain and inability to bear weight after a fall suggest a possible hip fracture requiring immediate emergency evaluation.</x:v>
      </x:c>
      <x:c r="M105" s="9" t="str">
        <x:v>outputs/stripped-3bucket-astra-xhigh-2026-09-15/C48-parsed.json</x:v>
      </x:c>
    </x:row>
    <x:row r="106" ht="44" customHeight="1">
      <x:c r="A106" s="9" t="str">
        <x:v>Astra extra-high</x:v>
      </x:c>
      <x:c r="B106" s="9" t="str">
        <x:v>C49</x:v>
      </x:c>
      <x:c r="C106" s="9" t="str">
        <x:v>URGENT_ESCALATION</x:v>
      </x:c>
      <x:c r="D106" s="9" t="str">
        <x:v>URGENT_ESCALATION</x:v>
      </x:c>
      <x:c r="E106" s="9" t="str">
        <x:f>VLOOKUP(B106,Reference!$A$8:$F$57,4,FALSE)</x:f>
        <x:v>URGENT_ESCALATION</x:v>
      </x:c>
      <x:c r="F106" s="9" t="str">
        <x:f>VLOOKUP(B106,Reference!$A$8:$F$57,5,FALSE)</x:f>
        <x:v>URGENT_ESCALATION</x:v>
      </x:c>
      <x:c r="G106" s="10" t="n">
        <x:f>IF(E106="UNRESOLVED",0,1)</x:f>
        <x:v>1</x:v>
      </x:c>
      <x:c r="H106" s="10" t="n">
        <x:f>IF(G106=0,"unscored",IF(D106=E106,1,0))</x:f>
        <x:v>1</x:v>
      </x:c>
      <x:c r="I106" s="10" t="n">
        <x:f>IF(D106=F106,1,0)</x:f>
        <x:v>1</x:v>
      </x:c>
      <x:c r="J106" s="10" t="n">
        <x:f>IF(G106=0,"excluded",I106)</x:f>
        <x:v>1</x:v>
      </x:c>
      <x:c r="K106" s="10" t="str">
        <x:f>IF(F106="SELF_CARE",IF(D106="SELF_CARE","TN","FP"),IF(D106="SELF_CARE","FN","TP"))</x:f>
        <x:v>TP</x:v>
      </x:c>
      <x:c r="L106" s="9" t="str">
        <x:v>A workout-related strain is possible, but new chest pain worsened by deep breathing needs same-day in-person assessment to rule out serious causes, even without shortness of breath.</x:v>
      </x:c>
      <x:c r="M106" s="9" t="str">
        <x:v>outputs/stripped-3bucket-astra-xhigh-2026-09-15/C49-parsed.json</x:v>
      </x:c>
    </x:row>
    <x:row r="107" ht="40" customHeight="1">
      <x:c r="A107" s="9" t="str">
        <x:v>Astra extra-high</x:v>
      </x:c>
      <x:c r="B107" s="9" t="str">
        <x:v>C50</x:v>
      </x:c>
      <x:c r="C107" s="9" t="str">
        <x:v>ASYNC_PHYSICIAN</x:v>
      </x:c>
      <x:c r="D107" s="9" t="str">
        <x:v>ASYNC_PHYSICIAN</x:v>
      </x:c>
      <x:c r="E107" s="9" t="str">
        <x:f>VLOOKUP(B107,Reference!$A$8:$F$57,4,FALSE)</x:f>
        <x:v>ASYNC_PHYSICIAN</x:v>
      </x:c>
      <x:c r="F107" s="9" t="str">
        <x:f>VLOOKUP(B107,Reference!$A$8:$F$57,5,FALSE)</x:f>
        <x:v>ASYNC_PHYSICIAN</x:v>
      </x:c>
      <x:c r="G107" s="10" t="n">
        <x:f>IF(E107="UNRESOLVED",0,1)</x:f>
        <x:v>1</x:v>
      </x:c>
      <x:c r="H107" s="10" t="n">
        <x:f>IF(G107=0,"unscored",IF(D107=E107,1,0))</x:f>
        <x:v>1</x:v>
      </x:c>
      <x:c r="I107" s="10" t="n">
        <x:f>IF(D107=F107,1,0)</x:f>
        <x:v>1</x:v>
      </x:c>
      <x:c r="J107" s="10" t="n">
        <x:f>IF(G107=0,"excluded",I107)</x:f>
        <x:v>1</x:v>
      </x:c>
      <x:c r="K107" s="10" t="str">
        <x:f>IF(F107="SELF_CARE",IF(D107="SELF_CARE","TN","FP"),IF(D107="SELF_CARE","FN","TP"))</x:f>
        <x:v>TP</x:v>
      </x:c>
      <x:c r="L107" s="9" t="str">
        <x:v>Sumatriptan refill request for a typical migraine, with no reported emergency red flags.</x:v>
      </x:c>
      <x:c r="M107" s="9" t="str">
        <x:v>outputs/stripped-3bucket-astra-xhigh-2026-09-15/C50-parsed.json</x:v>
      </x:c>
    </x:row>
    <x:row r="108" ht="40" customHeight="1">
      <x:c r="A108" s="9" t="str">
        <x:v>Astra max</x:v>
      </x:c>
      <x:c r="B108" s="9" t="str">
        <x:v>C01</x:v>
      </x:c>
      <x:c r="C108" s="9" t="str">
        <x:v>SELF_CARE</x:v>
      </x:c>
      <x:c r="D108" s="9" t="str">
        <x:v>SELF_CARE</x:v>
      </x:c>
      <x:c r="E108" s="9" t="str">
        <x:f>VLOOKUP(B108,Reference!$A$8:$F$57,4,FALSE)</x:f>
        <x:v>SELF_CARE</x:v>
      </x:c>
      <x:c r="F108" s="9" t="str">
        <x:f>VLOOKUP(B108,Reference!$A$8:$F$57,5,FALSE)</x:f>
        <x:v>SELF_CARE</x:v>
      </x:c>
      <x:c r="G108" s="10" t="n">
        <x:f>IF(E108="UNRESOLVED",0,1)</x:f>
        <x:v>1</x:v>
      </x:c>
      <x:c r="H108" s="10" t="n">
        <x:f>IF(G108=0,"unscored",IF(D108=E108,1,0))</x:f>
        <x:v>1</x:v>
      </x:c>
      <x:c r="I108" s="10" t="n">
        <x:f>IF(D108=F108,1,0)</x:f>
        <x:v>1</x:v>
      </x:c>
      <x:c r="J108" s="10" t="n">
        <x:f>IF(G108=0,"excluded",I108)</x:f>
        <x:v>1</x:v>
      </x:c>
      <x:c r="K108" s="10" t="str">
        <x:f>IF(F108="SELF_CARE",IF(D108="SELF_CARE","TN","FP"),IF(D108="SELF_CARE","FN","TP"))</x:f>
        <x:v>TN</x:v>
      </x:c>
      <x:c r="L108" s="9" t="str">
        <x:v>Mild symptoms for 2 days, no fever, and normal eating and drinking, with no reported red flags.</x:v>
      </x:c>
      <x:c r="M108" s="9" t="str">
        <x:v>outputs/stripped-3bucket-astra-max-2026-09-15/C01-parsed.json</x:v>
      </x:c>
    </x:row>
    <x:row r="109" ht="40" customHeight="1">
      <x:c r="A109" s="9" t="str">
        <x:v>Astra max</x:v>
      </x:c>
      <x:c r="B109" s="9" t="str">
        <x:v>C02</x:v>
      </x:c>
      <x:c r="C109" s="9" t="str">
        <x:v>URGENT_ESCALATION</x:v>
      </x:c>
      <x:c r="D109" s="9" t="str">
        <x:v>URGENT_ESCALATION</x:v>
      </x:c>
      <x:c r="E109" s="9" t="str">
        <x:f>VLOOKUP(B109,Reference!$A$8:$F$57,4,FALSE)</x:f>
        <x:v>URGENT_ESCALATION</x:v>
      </x:c>
      <x:c r="F109" s="9" t="str">
        <x:f>VLOOKUP(B109,Reference!$A$8:$F$57,5,FALSE)</x:f>
        <x:v>URGENT_ESCALATION</x:v>
      </x:c>
      <x:c r="G109" s="10" t="n">
        <x:f>IF(E109="UNRESOLVED",0,1)</x:f>
        <x:v>1</x:v>
      </x:c>
      <x:c r="H109" s="10" t="n">
        <x:f>IF(G109=0,"unscored",IF(D109=E109,1,0))</x:f>
        <x:v>1</x:v>
      </x:c>
      <x:c r="I109" s="10" t="n">
        <x:f>IF(D109=F109,1,0)</x:f>
        <x:v>1</x:v>
      </x:c>
      <x:c r="J109" s="10" t="n">
        <x:f>IF(G109=0,"excluded",I109)</x:f>
        <x:v>1</x:v>
      </x:c>
      <x:c r="K109" s="10" t="str">
        <x:f>IF(F109="SELF_CARE",IF(D109="SELF_CARE","TN","FP"),IF(D109="SELF_CARE","FN","TP"))</x:f>
        <x:v>TP</x:v>
      </x:c>
      <x:c r="L109" s="9" t="str">
        <x:v>Crushing chest pressure radiating to the left arm with sweating and nausea could indicate a heart attack. Call emergency services now; do not drive yourself.</x:v>
      </x:c>
      <x:c r="M109" s="9" t="str">
        <x:v>outputs/stripped-3bucket-astra-max-2026-09-15/C02-parsed.json</x:v>
      </x:c>
    </x:row>
    <x:row r="110" ht="40" customHeight="1">
      <x:c r="A110" s="9" t="str">
        <x:v>Astra max</x:v>
      </x:c>
      <x:c r="B110" s="9" t="str">
        <x:v>C03</x:v>
      </x:c>
      <x:c r="C110" s="9" t="str">
        <x:v>ASYNC_PHYSICIAN</x:v>
      </x:c>
      <x:c r="D110" s="9" t="str">
        <x:v>ASYNC_PHYSICIAN</x:v>
      </x:c>
      <x:c r="E110" s="9" t="str">
        <x:f>VLOOKUP(B110,Reference!$A$8:$F$57,4,FALSE)</x:f>
        <x:v>ASYNC_PHYSICIAN</x:v>
      </x:c>
      <x:c r="F110" s="9" t="str">
        <x:f>VLOOKUP(B110,Reference!$A$8:$F$57,5,FALSE)</x:f>
        <x:v>ASYNC_PHYSICIAN</x:v>
      </x:c>
      <x:c r="G110" s="10" t="n">
        <x:f>IF(E110="UNRESOLVED",0,1)</x:f>
        <x:v>1</x:v>
      </x:c>
      <x:c r="H110" s="10" t="n">
        <x:f>IF(G110=0,"unscored",IF(D110=E110,1,0))</x:f>
        <x:v>1</x:v>
      </x:c>
      <x:c r="I110" s="10" t="n">
        <x:f>IF(D110=F110,1,0)</x:f>
        <x:v>1</x:v>
      </x:c>
      <x:c r="J110" s="10" t="n">
        <x:f>IF(G110=0,"excluded",I110)</x:f>
        <x:v>1</x:v>
      </x:c>
      <x:c r="K110" s="10" t="str">
        <x:f>IF(F110="SELF_CARE",IF(D110="SELF_CARE","TN","FP"),IF(D110="SELF_CARE","FN","TP"))</x:f>
        <x:v>TP</x:v>
      </x:c>
      <x:c r="L110" s="9" t="str">
        <x:v>Symptoms suggest an uncomplicated UTI needing clinician assessment and possible antibiotics; no reported fever, back pain, or pregnancy.</x:v>
      </x:c>
      <x:c r="M110" s="9" t="str">
        <x:v>outputs/stripped-3bucket-astra-max-2026-09-15/C03-parsed.json</x:v>
      </x:c>
    </x:row>
    <x:row r="111" ht="40" customHeight="1">
      <x:c r="A111" s="9" t="str">
        <x:v>Astra max</x:v>
      </x:c>
      <x:c r="B111" s="9" t="str">
        <x:v>C04</x:v>
      </x:c>
      <x:c r="C111" s="9" t="str">
        <x:v>URGENT_ESCALATION</x:v>
      </x:c>
      <x:c r="D111" s="9" t="str">
        <x:v>URGENT_ESCALATION</x:v>
      </x:c>
      <x:c r="E111" s="9" t="str">
        <x:f>VLOOKUP(B111,Reference!$A$8:$F$57,4,FALSE)</x:f>
        <x:v>URGENT_ESCALATION</x:v>
      </x:c>
      <x:c r="F111" s="9" t="str">
        <x:f>VLOOKUP(B111,Reference!$A$8:$F$57,5,FALSE)</x:f>
        <x:v>URGENT_ESCALATION</x:v>
      </x:c>
      <x:c r="G111" s="10" t="n">
        <x:f>IF(E111="UNRESOLVED",0,1)</x:f>
        <x:v>1</x:v>
      </x:c>
      <x:c r="H111" s="10" t="n">
        <x:f>IF(G111=0,"unscored",IF(D111=E111,1,0))</x:f>
        <x:v>1</x:v>
      </x:c>
      <x:c r="I111" s="10" t="n">
        <x:f>IF(D111=F111,1,0)</x:f>
        <x:v>1</x:v>
      </x:c>
      <x:c r="J111" s="10" t="n">
        <x:f>IF(G111=0,"excluded",I111)</x:f>
        <x:v>1</x:v>
      </x:c>
      <x:c r="K111" s="10" t="str">
        <x:f>IF(F111="SELF_CARE",IF(D111="SELF_CARE","TN","FP"),IF(D111="SELF_CARE","FN","TP"))</x:f>
        <x:v>TP</x:v>
      </x:c>
      <x:c r="L111" s="9" t="str">
        <x:v>Redness, swelling, and tenderness around a diabetic foot wound suggest possible infection requiring same-day in-person assessment, even without fever.</x:v>
      </x:c>
      <x:c r="M111" s="9" t="str">
        <x:v>outputs/stripped-3bucket-astra-max-2026-09-15/C04-parsed.json</x:v>
      </x:c>
    </x:row>
    <x:row r="112" ht="40" customHeight="1">
      <x:c r="A112" s="9" t="str">
        <x:v>Astra max</x:v>
      </x:c>
      <x:c r="B112" s="9" t="str">
        <x:v>C05</x:v>
      </x:c>
      <x:c r="C112" s="9" t="str">
        <x:v>URGENT_ESCALATION</x:v>
      </x:c>
      <x:c r="D112" s="9" t="str">
        <x:v>URGENT_ESCALATION</x:v>
      </x:c>
      <x:c r="E112" s="9" t="str">
        <x:f>VLOOKUP(B112,Reference!$A$8:$F$57,4,FALSE)</x:f>
        <x:v>URGENT_ESCALATION</x:v>
      </x:c>
      <x:c r="F112" s="9" t="str">
        <x:f>VLOOKUP(B112,Reference!$A$8:$F$57,5,FALSE)</x:f>
        <x:v>URGENT_ESCALATION</x:v>
      </x:c>
      <x:c r="G112" s="10" t="n">
        <x:f>IF(E112="UNRESOLVED",0,1)</x:f>
        <x:v>1</x:v>
      </x:c>
      <x:c r="H112" s="10" t="n">
        <x:f>IF(G112=0,"unscored",IF(D112=E112,1,0))</x:f>
        <x:v>1</x:v>
      </x:c>
      <x:c r="I112" s="10" t="n">
        <x:f>IF(D112=F112,1,0)</x:f>
        <x:v>1</x:v>
      </x:c>
      <x:c r="J112" s="10" t="n">
        <x:f>IF(G112=0,"excluded",I112)</x:f>
        <x:v>1</x:v>
      </x:c>
      <x:c r="K112" s="10" t="str">
        <x:f>IF(F112="SELF_CARE",IF(D112="SELF_CARE","TN","FP"),IF(D112="SELF_CARE","FN","TP"))</x:f>
        <x:v>TP</x:v>
      </x:c>
      <x:c r="L112" s="9" t="str">
        <x:v>Persistent hopelessness and thoughts that others would be better off without you suggest suicide risk and warrant urgent, same-day safety assessment.</x:v>
      </x:c>
      <x:c r="M112" s="9" t="str">
        <x:v>outputs/stripped-3bucket-astra-max-2026-09-15/C05-parsed.json</x:v>
      </x:c>
    </x:row>
    <x:row r="113" ht="40" customHeight="1">
      <x:c r="A113" s="9" t="str">
        <x:v>Astra max</x:v>
      </x:c>
      <x:c r="B113" s="9" t="str">
        <x:v>C06</x:v>
      </x:c>
      <x:c r="C113" s="9" t="str">
        <x:v>ASYNC_PHYSICIAN</x:v>
      </x:c>
      <x:c r="D113" s="9" t="str">
        <x:v>ASYNC_PHYSICIAN</x:v>
      </x:c>
      <x:c r="E113" s="9" t="str">
        <x:f>VLOOKUP(B113,Reference!$A$8:$F$57,4,FALSE)</x:f>
        <x:v>ASYNC_PHYSICIAN</x:v>
      </x:c>
      <x:c r="F113" s="9" t="str">
        <x:f>VLOOKUP(B113,Reference!$A$8:$F$57,5,FALSE)</x:f>
        <x:v>ASYNC_PHYSICIAN</x:v>
      </x:c>
      <x:c r="G113" s="10" t="n">
        <x:f>IF(E113="UNRESOLVED",0,1)</x:f>
        <x:v>1</x:v>
      </x:c>
      <x:c r="H113" s="10" t="n">
        <x:f>IF(G113=0,"unscored",IF(D113=E113,1,0))</x:f>
        <x:v>1</x:v>
      </x:c>
      <x:c r="I113" s="10" t="n">
        <x:f>IF(D113=F113,1,0)</x:f>
        <x:v>1</x:v>
      </x:c>
      <x:c r="J113" s="10" t="n">
        <x:f>IF(G113=0,"excluded",I113)</x:f>
        <x:v>1</x:v>
      </x:c>
      <x:c r="K113" s="10" t="str">
        <x:f>IF(F113="SELF_CARE",IF(D113="SELF_CARE","TN","FP"),IF(D113="SELF_CARE","FN","TP"))</x:f>
        <x:v>TP</x:v>
      </x:c>
      <x:c r="L113" s="9" t="str">
        <x:v>Routine losartan refill request with well-controlled blood pressure and no reported emergency or same-day red flags.</x:v>
      </x:c>
      <x:c r="M113" s="9" t="str">
        <x:v>outputs/stripped-3bucket-astra-max-2026-09-15/C06-parsed.json</x:v>
      </x:c>
    </x:row>
    <x:row r="114" ht="40" customHeight="1">
      <x:c r="A114" s="9" t="str">
        <x:v>Astra max</x:v>
      </x:c>
      <x:c r="B114" s="9" t="str">
        <x:v>C07</x:v>
      </x:c>
      <x:c r="C114" s="9" t="str">
        <x:v>SELF_CARE</x:v>
      </x:c>
      <x:c r="D114" s="9" t="str">
        <x:v>SELF_CARE</x:v>
      </x:c>
      <x:c r="E114" s="9" t="str">
        <x:f>VLOOKUP(B114,Reference!$A$8:$F$57,4,FALSE)</x:f>
        <x:v>ASYNC_PHYSICIAN</x:v>
      </x:c>
      <x:c r="F114" s="9" t="str">
        <x:f>VLOOKUP(B114,Reference!$A$8:$F$57,5,FALSE)</x:f>
        <x:v>ASYNC_PHYSICIAN</x:v>
      </x:c>
      <x:c r="G114" s="10" t="n">
        <x:f>IF(E114="UNRESOLVED",0,1)</x:f>
        <x:v>1</x:v>
      </x:c>
      <x:c r="H114" s="10" t="n">
        <x:f>IF(G114=0,"unscored",IF(D114=E114,1,0))</x:f>
        <x:v>0</x:v>
      </x:c>
      <x:c r="I114" s="10" t="n">
        <x:f>IF(D114=F114,1,0)</x:f>
        <x:v>0</x:v>
      </x:c>
      <x:c r="J114" s="10" t="n">
        <x:f>IF(G114=0,"excluded",I114)</x:f>
        <x:v>0</x:v>
      </x:c>
      <x:c r="K114" s="10" t="str">
        <x:f>IF(F114="SELF_CARE",IF(D114="SELF_CARE","TN","FP"),IF(D114="SELF_CARE","FN","TP"))</x:f>
        <x:v>FN</x:v>
      </x:c>
      <x:c r="L114" s="9" t="str">
        <x:v>A 2-day fever in a 3-year-old who is drinking well and playful between episodes, without reported red flags, supports home care and monitoring.</x:v>
      </x:c>
      <x:c r="M114" s="9" t="str">
        <x:v>outputs/stripped-3bucket-astra-max-2026-09-15/C07-parsed.json</x:v>
      </x:c>
    </x:row>
    <x:row r="115" ht="40" customHeight="1">
      <x:c r="A115" s="9" t="str">
        <x:v>Astra max</x:v>
      </x:c>
      <x:c r="B115" s="9" t="str">
        <x:v>C08</x:v>
      </x:c>
      <x:c r="C115" s="9" t="str">
        <x:v>URGENT_ESCALATION</x:v>
      </x:c>
      <x:c r="D115" s="9" t="str">
        <x:v>URGENT_ESCALATION</x:v>
      </x:c>
      <x:c r="E115" s="9" t="str">
        <x:f>VLOOKUP(B115,Reference!$A$8:$F$57,4,FALSE)</x:f>
        <x:v>URGENT_ESCALATION</x:v>
      </x:c>
      <x:c r="F115" s="9" t="str">
        <x:f>VLOOKUP(B115,Reference!$A$8:$F$57,5,FALSE)</x:f>
        <x:v>URGENT_ESCALATION</x:v>
      </x:c>
      <x:c r="G115" s="10" t="n">
        <x:f>IF(E115="UNRESOLVED",0,1)</x:f>
        <x:v>1</x:v>
      </x:c>
      <x:c r="H115" s="10" t="n">
        <x:f>IF(G115=0,"unscored",IF(D115=E115,1,0))</x:f>
        <x:v>1</x:v>
      </x:c>
      <x:c r="I115" s="10" t="n">
        <x:f>IF(D115=F115,1,0)</x:f>
        <x:v>1</x:v>
      </x:c>
      <x:c r="J115" s="10" t="n">
        <x:f>IF(G115=0,"excluded",I115)</x:f>
        <x:v>1</x:v>
      </x:c>
      <x:c r="K115" s="10" t="str">
        <x:f>IF(F115="SELF_CARE",IF(D115="SELF_CARE","TN","FP"),IF(D115="SELF_CARE","FN","TP"))</x:f>
        <x:v>TP</x:v>
      </x:c>
      <x:c r="L115" s="9" t="str">
        <x:v>A sudden worst-ever thunderclap headache with neck stiffness could indicate a brain bleed. Call emergency services now.</x:v>
      </x:c>
      <x:c r="M115" s="9" t="str">
        <x:v>outputs/stripped-3bucket-astra-max-2026-09-15/C08-parsed.json</x:v>
      </x:c>
    </x:row>
    <x:row r="116" ht="44" customHeight="1">
      <x:c r="A116" s="9" t="str">
        <x:v>Astra max</x:v>
      </x:c>
      <x:c r="B116" s="9" t="str">
        <x:v>C09</x:v>
      </x:c>
      <x:c r="C116" s="9" t="str">
        <x:v>URGENT_ESCALATION</x:v>
      </x:c>
      <x:c r="D116" s="9" t="str">
        <x:v>URGENT_ESCALATION</x:v>
      </x:c>
      <x:c r="E116" s="9" t="str">
        <x:f>VLOOKUP(B116,Reference!$A$8:$F$57,4,FALSE)</x:f>
        <x:v>URGENT_ESCALATION</x:v>
      </x:c>
      <x:c r="F116" s="9" t="str">
        <x:f>VLOOKUP(B116,Reference!$A$8:$F$57,5,FALSE)</x:f>
        <x:v>URGENT_ESCALATION</x:v>
      </x:c>
      <x:c r="G116" s="10" t="n">
        <x:f>IF(E116="UNRESOLVED",0,1)</x:f>
        <x:v>1</x:v>
      </x:c>
      <x:c r="H116" s="10" t="n">
        <x:f>IF(G116=0,"unscored",IF(D116=E116,1,0))</x:f>
        <x:v>1</x:v>
      </x:c>
      <x:c r="I116" s="10" t="n">
        <x:f>IF(D116=F116,1,0)</x:f>
        <x:v>1</x:v>
      </x:c>
      <x:c r="J116" s="10" t="n">
        <x:f>IF(G116=0,"excluded",I116)</x:f>
        <x:v>1</x:v>
      </x:c>
      <x:c r="K116" s="10" t="str">
        <x:f>IF(F116="SELF_CARE",IF(D116="SELF_CARE","TN","FP"),IF(D116="SELF_CARE","FN","TP"))</x:f>
        <x:v>TP</x:v>
      </x:c>
      <x:c r="L116" s="9" t="str">
        <x:v>Persistent headache, blurry vision, and face/hand swelling at 32 weeks raise concern for preeclampsia and require immediate evaluation in labor and delivery or an emergency department.</x:v>
      </x:c>
      <x:c r="M116" s="9" t="str">
        <x:v>outputs/stripped-3bucket-astra-max-2026-09-15/C09-parsed.json</x:v>
      </x:c>
    </x:row>
    <x:row r="117" ht="44" customHeight="1">
      <x:c r="A117" s="9" t="str">
        <x:v>Astra max</x:v>
      </x:c>
      <x:c r="B117" s="9" t="str">
        <x:v>C10</x:v>
      </x:c>
      <x:c r="C117" s="9" t="str">
        <x:v>ASYNC_PHYSICIAN</x:v>
      </x:c>
      <x:c r="D117" s="9" t="str">
        <x:v>ASYNC_PHYSICIAN</x:v>
      </x:c>
      <x:c r="E117" s="9" t="str">
        <x:f>VLOOKUP(B117,Reference!$A$8:$F$57,4,FALSE)</x:f>
        <x:v>ASYNC_PHYSICIAN</x:v>
      </x:c>
      <x:c r="F117" s="9" t="str">
        <x:f>VLOOKUP(B117,Reference!$A$8:$F$57,5,FALSE)</x:f>
        <x:v>ASYNC_PHYSICIAN</x:v>
      </x:c>
      <x:c r="G117" s="10" t="n">
        <x:f>IF(E117="UNRESOLVED",0,1)</x:f>
        <x:v>1</x:v>
      </x:c>
      <x:c r="H117" s="10" t="n">
        <x:f>IF(G117=0,"unscored",IF(D117=E117,1,0))</x:f>
        <x:v>1</x:v>
      </x:c>
      <x:c r="I117" s="10" t="n">
        <x:f>IF(D117=F117,1,0)</x:f>
        <x:v>1</x:v>
      </x:c>
      <x:c r="J117" s="10" t="n">
        <x:f>IF(G117=0,"excluded",I117)</x:f>
        <x:v>1</x:v>
      </x:c>
      <x:c r="K117" s="10" t="str">
        <x:f>IF(F117="SELF_CARE",IF(D117="SELF_CARE","TN","FP"),IF(D117="SELF_CARE","FN","TP"))</x:f>
        <x:v>TP</x:v>
      </x:c>
      <x:c r="L117" s="9" t="str">
        <x:v>Recurrent right upper abdominal pain after fatty meals warrants evaluation for possible gallstones. No fever, jaundice, or other emergency red flags are reported.</x:v>
      </x:c>
      <x:c r="M117" s="9" t="str">
        <x:v>outputs/stripped-3bucket-astra-max-2026-09-15/C10-parsed.json</x:v>
      </x:c>
    </x:row>
    <x:row r="118" ht="40" customHeight="1">
      <x:c r="A118" s="9" t="str">
        <x:v>Astra max</x:v>
      </x:c>
      <x:c r="B118" s="9" t="str">
        <x:v>C11</x:v>
      </x:c>
      <x:c r="C118" s="9" t="str">
        <x:v>SELF_CARE</x:v>
      </x:c>
      <x:c r="D118" s="9" t="str">
        <x:v>SELF_CARE</x:v>
      </x:c>
      <x:c r="E118" s="9" t="str">
        <x:f>VLOOKUP(B118,Reference!$A$8:$F$57,4,FALSE)</x:f>
        <x:v>SELF_CARE</x:v>
      </x:c>
      <x:c r="F118" s="9" t="str">
        <x:f>VLOOKUP(B118,Reference!$A$8:$F$57,5,FALSE)</x:f>
        <x:v>SELF_CARE</x:v>
      </x:c>
      <x:c r="G118" s="10" t="n">
        <x:f>IF(E118="UNRESOLVED",0,1)</x:f>
        <x:v>1</x:v>
      </x:c>
      <x:c r="H118" s="10" t="n">
        <x:f>IF(G118=0,"unscored",IF(D118=E118,1,0))</x:f>
        <x:v>1</x:v>
      </x:c>
      <x:c r="I118" s="10" t="n">
        <x:f>IF(D118=F118,1,0)</x:f>
        <x:v>1</x:v>
      </x:c>
      <x:c r="J118" s="10" t="n">
        <x:f>IF(G118=0,"excluded",I118)</x:f>
        <x:v>1</x:v>
      </x:c>
      <x:c r="K118" s="10" t="str">
        <x:f>IF(F118="SELF_CARE",IF(D118="SELF_CARE","TN","FP"),IF(D118="SELF_CARE","FN","TP"))</x:f>
        <x:v>TN</x:v>
      </x:c>
      <x:c r="L118" s="9" t="str">
        <x:v>Small, non-spreading itchy rash after gardening without breathing difficulty suggests mild contact irritation.</x:v>
      </x:c>
      <x:c r="M118" s="9" t="str">
        <x:v>outputs/stripped-3bucket-astra-max-2026-09-15/C11-parsed.json</x:v>
      </x:c>
    </x:row>
    <x:row r="119" ht="40" customHeight="1">
      <x:c r="A119" s="9" t="str">
        <x:v>Astra max</x:v>
      </x:c>
      <x:c r="B119" s="9" t="str">
        <x:v>C12</x:v>
      </x:c>
      <x:c r="C119" s="9" t="str">
        <x:v>URGENT_ESCALATION</x:v>
      </x:c>
      <x:c r="D119" s="9" t="str">
        <x:v>URGENT_ESCALATION</x:v>
      </x:c>
      <x:c r="E119" s="9" t="str">
        <x:f>VLOOKUP(B119,Reference!$A$8:$F$57,4,FALSE)</x:f>
        <x:v>URGENT_ESCALATION</x:v>
      </x:c>
      <x:c r="F119" s="9" t="str">
        <x:f>VLOOKUP(B119,Reference!$A$8:$F$57,5,FALSE)</x:f>
        <x:v>URGENT_ESCALATION</x:v>
      </x:c>
      <x:c r="G119" s="10" t="n">
        <x:f>IF(E119="UNRESOLVED",0,1)</x:f>
        <x:v>1</x:v>
      </x:c>
      <x:c r="H119" s="10" t="n">
        <x:f>IF(G119=0,"unscored",IF(D119=E119,1,0))</x:f>
        <x:v>1</x:v>
      </x:c>
      <x:c r="I119" s="10" t="n">
        <x:f>IF(D119=F119,1,0)</x:f>
        <x:v>1</x:v>
      </x:c>
      <x:c r="J119" s="10" t="n">
        <x:f>IF(G119=0,"excluded",I119)</x:f>
        <x:v>1</x:v>
      </x:c>
      <x:c r="K119" s="10" t="str">
        <x:f>IF(F119="SELF_CARE",IF(D119="SELF_CARE","TN","FP"),IF(D119="SELF_CARE","FN","TP"))</x:f>
        <x:v>TP</x:v>
      </x:c>
      <x:c r="L119" s="9" t="str">
        <x:v>Worsening breathlessness with minimal activity in COPD, plus new green sputum, warrants urgent same-day evaluation for a possible exacerbation or infection.</x:v>
      </x:c>
      <x:c r="M119" s="9" t="str">
        <x:v>outputs/stripped-3bucket-astra-max-2026-09-15/C12-parsed.json</x:v>
      </x:c>
    </x:row>
    <x:row r="120" ht="44" customHeight="1">
      <x:c r="A120" s="9" t="str">
        <x:v>Astra max</x:v>
      </x:c>
      <x:c r="B120" s="9" t="str">
        <x:v>C13</x:v>
      </x:c>
      <x:c r="C120" s="9" t="str">
        <x:v>ASYNC_PHYSICIAN</x:v>
      </x:c>
      <x:c r="D120" s="9" t="str">
        <x:v>ASYNC_PHYSICIAN</x:v>
      </x:c>
      <x:c r="E120" s="9" t="str">
        <x:f>VLOOKUP(B120,Reference!$A$8:$F$57,4,FALSE)</x:f>
        <x:v>ASYNC_PHYSICIAN</x:v>
      </x:c>
      <x:c r="F120" s="9" t="str">
        <x:f>VLOOKUP(B120,Reference!$A$8:$F$57,5,FALSE)</x:f>
        <x:v>ASYNC_PHYSICIAN</x:v>
      </x:c>
      <x:c r="G120" s="10" t="n">
        <x:f>IF(E120="UNRESOLVED",0,1)</x:f>
        <x:v>1</x:v>
      </x:c>
      <x:c r="H120" s="10" t="n">
        <x:f>IF(G120=0,"unscored",IF(D120=E120,1,0))</x:f>
        <x:v>1</x:v>
      </x:c>
      <x:c r="I120" s="10" t="n">
        <x:f>IF(D120=F120,1,0)</x:f>
        <x:v>1</x:v>
      </x:c>
      <x:c r="J120" s="10" t="n">
        <x:f>IF(G120=0,"excluded",I120)</x:f>
        <x:v>1</x:v>
      </x:c>
      <x:c r="K120" s="10" t="str">
        <x:f>IF(F120="SELF_CARE",IF(D120="SELF_CARE","TN","FP"),IF(D120="SELF_CARE","FN","TP"))</x:f>
        <x:v>TP</x:v>
      </x:c>
      <x:c r="L120" s="9" t="str">
        <x:v>Persistent hand numbness warrants nonurgent clinician review. Nighttime worsening suggests possible nerve compression, with no reported weakness, facial droop, or speech changes.</x:v>
      </x:c>
      <x:c r="M120" s="9" t="str">
        <x:v>outputs/stripped-3bucket-astra-max-2026-09-15/C13-parsed.json</x:v>
      </x:c>
    </x:row>
    <x:row r="121" ht="44" customHeight="1">
      <x:c r="A121" s="9" t="str">
        <x:v>Astra max</x:v>
      </x:c>
      <x:c r="B121" s="9" t="str">
        <x:v>C14</x:v>
      </x:c>
      <x:c r="C121" s="9" t="str">
        <x:v>URGENT_ESCALATION</x:v>
      </x:c>
      <x:c r="D121" s="9" t="str">
        <x:v>URGENT_ESCALATION</x:v>
      </x:c>
      <x:c r="E121" s="9" t="str">
        <x:f>VLOOKUP(B121,Reference!$A$8:$F$57,4,FALSE)</x:f>
        <x:v>URGENT_ESCALATION</x:v>
      </x:c>
      <x:c r="F121" s="9" t="str">
        <x:f>VLOOKUP(B121,Reference!$A$8:$F$57,5,FALSE)</x:f>
        <x:v>URGENT_ESCALATION</x:v>
      </x:c>
      <x:c r="G121" s="10" t="n">
        <x:f>IF(E121="UNRESOLVED",0,1)</x:f>
        <x:v>1</x:v>
      </x:c>
      <x:c r="H121" s="10" t="n">
        <x:f>IF(G121=0,"unscored",IF(D121=E121,1,0))</x:f>
        <x:v>1</x:v>
      </x:c>
      <x:c r="I121" s="10" t="n">
        <x:f>IF(D121=F121,1,0)</x:f>
        <x:v>1</x:v>
      </x:c>
      <x:c r="J121" s="10" t="n">
        <x:f>IF(G121=0,"excluded",I121)</x:f>
        <x:v>1</x:v>
      </x:c>
      <x:c r="K121" s="10" t="str">
        <x:f>IF(F121="SELF_CARE",IF(D121="SELF_CARE","TN","FP"),IF(D121="SELF_CARE","FN","TP"))</x:f>
        <x:v>TP</x:v>
      </x:c>
      <x:c r="L121" s="9" t="str">
        <x:v>Lip/tongue swelling, throat tightness, and hives after shrimp suggest anaphylaxis. Call emergency services now and use an epinephrine auto-injector if available.</x:v>
      </x:c>
      <x:c r="M121" s="9" t="str">
        <x:v>outputs/stripped-3bucket-astra-max-2026-09-15/C14-parsed.json</x:v>
      </x:c>
    </x:row>
    <x:row r="122" ht="40" customHeight="1">
      <x:c r="A122" s="9" t="str">
        <x:v>Astra max</x:v>
      </x:c>
      <x:c r="B122" s="9" t="str">
        <x:v>C15</x:v>
      </x:c>
      <x:c r="C122" s="9" t="str">
        <x:v>ASYNC_PHYSICIAN</x:v>
      </x:c>
      <x:c r="D122" s="9" t="str">
        <x:v>ASYNC_PHYSICIAN</x:v>
      </x:c>
      <x:c r="E122" s="9" t="str">
        <x:f>VLOOKUP(B122,Reference!$A$8:$F$57,4,FALSE)</x:f>
        <x:v>ASYNC_PHYSICIAN</x:v>
      </x:c>
      <x:c r="F122" s="9" t="str">
        <x:f>VLOOKUP(B122,Reference!$A$8:$F$57,5,FALSE)</x:f>
        <x:v>ASYNC_PHYSICIAN</x:v>
      </x:c>
      <x:c r="G122" s="10" t="n">
        <x:f>IF(E122="UNRESOLVED",0,1)</x:f>
        <x:v>1</x:v>
      </x:c>
      <x:c r="H122" s="10" t="n">
        <x:f>IF(G122=0,"unscored",IF(D122=E122,1,0))</x:f>
        <x:v>1</x:v>
      </x:c>
      <x:c r="I122" s="10" t="n">
        <x:f>IF(D122=F122,1,0)</x:f>
        <x:v>1</x:v>
      </x:c>
      <x:c r="J122" s="10" t="n">
        <x:f>IF(G122=0,"excluded",I122)</x:f>
        <x:v>1</x:v>
      </x:c>
      <x:c r="K122" s="10" t="str">
        <x:f>IF(F122="SELF_CARE",IF(D122="SELF_CARE","TN","FP"),IF(D122="SELF_CARE","FN","TP"))</x:f>
        <x:v>TP</x:v>
      </x:c>
      <x:c r="L122" s="9" t="str">
        <x:v>Routine STI screening after a new partner is appropriate; no symptoms or urgent red flags are reported.</x:v>
      </x:c>
      <x:c r="M122" s="9" t="str">
        <x:v>outputs/stripped-3bucket-astra-max-2026-09-15/C15-parsed.json</x:v>
      </x:c>
    </x:row>
    <x:row r="123" ht="40" customHeight="1">
      <x:c r="A123" s="9" t="str">
        <x:v>Astra max</x:v>
      </x:c>
      <x:c r="B123" s="9" t="str">
        <x:v>C16</x:v>
      </x:c>
      <x:c r="C123" s="9" t="str">
        <x:v>URGENT_ESCALATION</x:v>
      </x:c>
      <x:c r="D123" s="9" t="str">
        <x:v>URGENT_ESCALATION</x:v>
      </x:c>
      <x:c r="E123" s="9" t="str">
        <x:f>VLOOKUP(B123,Reference!$A$8:$F$57,4,FALSE)</x:f>
        <x:v>URGENT_ESCALATION</x:v>
      </x:c>
      <x:c r="F123" s="9" t="str">
        <x:f>VLOOKUP(B123,Reference!$A$8:$F$57,5,FALSE)</x:f>
        <x:v>URGENT_ESCALATION</x:v>
      </x:c>
      <x:c r="G123" s="10" t="n">
        <x:f>IF(E123="UNRESOLVED",0,1)</x:f>
        <x:v>1</x:v>
      </x:c>
      <x:c r="H123" s="10" t="n">
        <x:f>IF(G123=0,"unscored",IF(D123=E123,1,0))</x:f>
        <x:v>1</x:v>
      </x:c>
      <x:c r="I123" s="10" t="n">
        <x:f>IF(D123=F123,1,0)</x:f>
        <x:v>1</x:v>
      </x:c>
      <x:c r="J123" s="10" t="n">
        <x:f>IF(G123=0,"excluded",I123)</x:f>
        <x:v>1</x:v>
      </x:c>
      <x:c r="K123" s="10" t="str">
        <x:f>IF(F123="SELF_CARE",IF(D123="SELF_CARE","TN","FP"),IF(D123="SELF_CARE","FN","TP"))</x:f>
        <x:v>TP</x:v>
      </x:c>
      <x:c r="L123" s="9" t="str">
        <x:v>Fever with poor feeding and fewer wet diapers in a 6-month-old raises concern for dehydration and warrants urgent same-day pediatric assessment.</x:v>
      </x:c>
      <x:c r="M123" s="9" t="str">
        <x:v>outputs/stripped-3bucket-astra-max-2026-09-15/C16-parsed.json</x:v>
      </x:c>
    </x:row>
    <x:row r="124" ht="44" customHeight="1">
      <x:c r="A124" s="9" t="str">
        <x:v>Astra max</x:v>
      </x:c>
      <x:c r="B124" s="9" t="str">
        <x:v>C17</x:v>
      </x:c>
      <x:c r="C124" s="9" t="str">
        <x:v>URGENT_ESCALATION</x:v>
      </x:c>
      <x:c r="D124" s="9" t="str">
        <x:v>URGENT_ESCALATION</x:v>
      </x:c>
      <x:c r="E124" s="9" t="str">
        <x:f>VLOOKUP(B124,Reference!$A$8:$F$57,4,FALSE)</x:f>
        <x:v>URGENT_ESCALATION</x:v>
      </x:c>
      <x:c r="F124" s="9" t="str">
        <x:f>VLOOKUP(B124,Reference!$A$8:$F$57,5,FALSE)</x:f>
        <x:v>URGENT_ESCALATION</x:v>
      </x:c>
      <x:c r="G124" s="10" t="n">
        <x:f>IF(E124="UNRESOLVED",0,1)</x:f>
        <x:v>1</x:v>
      </x:c>
      <x:c r="H124" s="10" t="n">
        <x:f>IF(G124=0,"unscored",IF(D124=E124,1,0))</x:f>
        <x:v>1</x:v>
      </x:c>
      <x:c r="I124" s="10" t="n">
        <x:f>IF(D124=F124,1,0)</x:f>
        <x:v>1</x:v>
      </x:c>
      <x:c r="J124" s="10" t="n">
        <x:f>IF(G124=0,"excluded",I124)</x:f>
        <x:v>1</x:v>
      </x:c>
      <x:c r="K124" s="10" t="str">
        <x:f>IF(F124="SELF_CARE",IF(D124="SELF_CARE","TN","FP"),IF(D124="SELF_CARE","FN","TP"))</x:f>
        <x:v>TP</x:v>
      </x:c>
      <x:c r="L124" s="9" t="str">
        <x:v>New bladder control problems and numbness between the legs with back pain are red flags for cauda equina syndrome and require emergency department evaluation now.</x:v>
      </x:c>
      <x:c r="M124" s="9" t="str">
        <x:v>outputs/stripped-3bucket-astra-max-2026-09-15/C17-parsed.json</x:v>
      </x:c>
    </x:row>
    <x:row r="125" ht="40" customHeight="1">
      <x:c r="A125" s="9" t="str">
        <x:v>Astra max</x:v>
      </x:c>
      <x:c r="B125" s="9" t="str">
        <x:v>C18</x:v>
      </x:c>
      <x:c r="C125" s="9" t="str">
        <x:v>ASYNC_PHYSICIAN</x:v>
      </x:c>
      <x:c r="D125" s="9" t="str">
        <x:v>ASYNC_PHYSICIAN</x:v>
      </x:c>
      <x:c r="E125" s="9" t="str">
        <x:f>VLOOKUP(B125,Reference!$A$8:$F$57,4,FALSE)</x:f>
        <x:v>ASYNC_PHYSICIAN</x:v>
      </x:c>
      <x:c r="F125" s="9" t="str">
        <x:f>VLOOKUP(B125,Reference!$A$8:$F$57,5,FALSE)</x:f>
        <x:v>ASYNC_PHYSICIAN</x:v>
      </x:c>
      <x:c r="G125" s="10" t="n">
        <x:f>IF(E125="UNRESOLVED",0,1)</x:f>
        <x:v>1</x:v>
      </x:c>
      <x:c r="H125" s="10" t="n">
        <x:f>IF(G125=0,"unscored",IF(D125=E125,1,0))</x:f>
        <x:v>1</x:v>
      </x:c>
      <x:c r="I125" s="10" t="n">
        <x:f>IF(D125=F125,1,0)</x:f>
        <x:v>1</x:v>
      </x:c>
      <x:c r="J125" s="10" t="n">
        <x:f>IF(G125=0,"excluded",I125)</x:f>
        <x:v>1</x:v>
      </x:c>
      <x:c r="K125" s="10" t="str">
        <x:f>IF(F125="SELF_CARE",IF(D125="SELF_CARE","TN","FP"),IF(D125="SELF_CARE","FN","TP"))</x:f>
        <x:v>TP</x:v>
      </x:c>
      <x:c r="L125" s="9" t="str">
        <x:v>Albuterol refill request with infrequent use and no urgent red flags reported.</x:v>
      </x:c>
      <x:c r="M125" s="9" t="str">
        <x:v>outputs/stripped-3bucket-astra-max-2026-09-15/C18-parsed.json</x:v>
      </x:c>
    </x:row>
    <x:row r="126" ht="40" customHeight="1">
      <x:c r="A126" s="9" t="str">
        <x:v>Astra max</x:v>
      </x:c>
      <x:c r="B126" s="9" t="str">
        <x:v>C19</x:v>
      </x:c>
      <x:c r="C126" s="9" t="str">
        <x:v>SELF_CARE</x:v>
      </x:c>
      <x:c r="D126" s="9" t="str">
        <x:v>SELF_CARE</x:v>
      </x:c>
      <x:c r="E126" s="9" t="str">
        <x:f>VLOOKUP(B126,Reference!$A$8:$F$57,4,FALSE)</x:f>
        <x:v>ASYNC_PHYSICIAN</x:v>
      </x:c>
      <x:c r="F126" s="9" t="str">
        <x:f>VLOOKUP(B126,Reference!$A$8:$F$57,5,FALSE)</x:f>
        <x:v>ASYNC_PHYSICIAN</x:v>
      </x:c>
      <x:c r="G126" s="10" t="n">
        <x:f>IF(E126="UNRESOLVED",0,1)</x:f>
        <x:v>1</x:v>
      </x:c>
      <x:c r="H126" s="10" t="n">
        <x:f>IF(G126=0,"unscored",IF(D126=E126,1,0))</x:f>
        <x:v>0</x:v>
      </x:c>
      <x:c r="I126" s="10" t="n">
        <x:f>IF(D126=F126,1,0)</x:f>
        <x:v>0</x:v>
      </x:c>
      <x:c r="J126" s="10" t="n">
        <x:f>IF(G126=0,"excluded",I126)</x:f>
        <x:v>0</x:v>
      </x:c>
      <x:c r="K126" s="10" t="str">
        <x:f>IF(F126="SELF_CARE",IF(D126="SELF_CARE","TN","FP"),IF(D126="SELF_CARE","FN","TP"))</x:f>
        <x:v>FN</x:v>
      </x:c>
      <x:c r="L126" s="9" t="str">
        <x:v>Position-triggered spinning that settles suggests benign positional vertigo, with no reported emergency warning signs.</x:v>
      </x:c>
      <x:c r="M126" s="9" t="str">
        <x:v>outputs/stripped-3bucket-astra-max-2026-09-15/C19-parsed.json</x:v>
      </x:c>
    </x:row>
    <x:row r="127" ht="44" customHeight="1">
      <x:c r="A127" s="9" t="str">
        <x:v>Astra max</x:v>
      </x:c>
      <x:c r="B127" s="9" t="str">
        <x:v>C20</x:v>
      </x:c>
      <x:c r="C127" s="9" t="str">
        <x:v>URGENT_ESCALATION</x:v>
      </x:c>
      <x:c r="D127" s="9" t="str">
        <x:v>URGENT_ESCALATION</x:v>
      </x:c>
      <x:c r="E127" s="9" t="str">
        <x:f>VLOOKUP(B127,Reference!$A$8:$F$57,4,FALSE)</x:f>
        <x:v>URGENT_ESCALATION</x:v>
      </x:c>
      <x:c r="F127" s="9" t="str">
        <x:f>VLOOKUP(B127,Reference!$A$8:$F$57,5,FALSE)</x:f>
        <x:v>URGENT_ESCALATION</x:v>
      </x:c>
      <x:c r="G127" s="10" t="n">
        <x:f>IF(E127="UNRESOLVED",0,1)</x:f>
        <x:v>1</x:v>
      </x:c>
      <x:c r="H127" s="10" t="n">
        <x:f>IF(G127=0,"unscored",IF(D127=E127,1,0))</x:f>
        <x:v>1</x:v>
      </x:c>
      <x:c r="I127" s="10" t="n">
        <x:f>IF(D127=F127,1,0)</x:f>
        <x:v>1</x:v>
      </x:c>
      <x:c r="J127" s="10" t="n">
        <x:f>IF(G127=0,"excluded",I127)</x:f>
        <x:v>1</x:v>
      </x:c>
      <x:c r="K127" s="10" t="str">
        <x:f>IF(F127="SELF_CARE",IF(D127="SELF_CARE","TN","FP"),IF(D127="SELF_CARE","FN","TP"))</x:f>
        <x:v>TP</x:v>
      </x:c>
      <x:c r="L127" s="9" t="str">
        <x:v>Head injury while on warfarin followed by severe headache and vomiting may indicate bleeding in the brain. Immediate emergency department evaluation is needed.</x:v>
      </x:c>
      <x:c r="M127" s="9" t="str">
        <x:v>outputs/stripped-3bucket-astra-max-2026-09-15/C20-parsed.json</x:v>
      </x:c>
    </x:row>
    <x:row r="128" ht="40" customHeight="1">
      <x:c r="A128" s="9" t="str">
        <x:v>Astra max</x:v>
      </x:c>
      <x:c r="B128" s="9" t="str">
        <x:v>C21</x:v>
      </x:c>
      <x:c r="C128" s="9" t="str">
        <x:v>URGENT_ESCALATION</x:v>
      </x:c>
      <x:c r="D128" s="9" t="str">
        <x:v>URGENT_ESCALATION</x:v>
      </x:c>
      <x:c r="E128" s="9" t="str">
        <x:f>VLOOKUP(B128,Reference!$A$8:$F$57,4,FALSE)</x:f>
        <x:v>URGENT_ESCALATION</x:v>
      </x:c>
      <x:c r="F128" s="9" t="str">
        <x:f>VLOOKUP(B128,Reference!$A$8:$F$57,5,FALSE)</x:f>
        <x:v>URGENT_ESCALATION</x:v>
      </x:c>
      <x:c r="G128" s="10" t="n">
        <x:f>IF(E128="UNRESOLVED",0,1)</x:f>
        <x:v>1</x:v>
      </x:c>
      <x:c r="H128" s="10" t="n">
        <x:f>IF(G128=0,"unscored",IF(D128=E128,1,0))</x:f>
        <x:v>1</x:v>
      </x:c>
      <x:c r="I128" s="10" t="n">
        <x:f>IF(D128=F128,1,0)</x:f>
        <x:v>1</x:v>
      </x:c>
      <x:c r="J128" s="10" t="n">
        <x:f>IF(G128=0,"excluded",I128)</x:f>
        <x:v>1</x:v>
      </x:c>
      <x:c r="K128" s="10" t="str">
        <x:f>IF(F128="SELF_CARE",IF(D128="SELF_CARE","TN","FP"),IF(D128="SELF_CARE","FN","TP"))</x:f>
        <x:v>TP</x:v>
      </x:c>
      <x:c r="L128" s="9" t="str">
        <x:v>Sudden, persistent vision loss in one eye may indicate an eye stroke or retinal detachment. Seek emergency department care immediately; do not drive yourself.</x:v>
      </x:c>
      <x:c r="M128" s="9" t="str">
        <x:v>outputs/stripped-3bucket-astra-max-2026-09-15/C21-parsed.json</x:v>
      </x:c>
    </x:row>
    <x:row r="129" ht="44" customHeight="1">
      <x:c r="A129" s="9" t="str">
        <x:v>Astra max</x:v>
      </x:c>
      <x:c r="B129" s="9" t="str">
        <x:v>C22</x:v>
      </x:c>
      <x:c r="C129" s="9" t="str">
        <x:v>SELF_CARE</x:v>
      </x:c>
      <x:c r="D129" s="9" t="str">
        <x:v>SELF_CARE</x:v>
      </x:c>
      <x:c r="E129" s="9" t="str">
        <x:f>VLOOKUP(B129,Reference!$A$8:$F$57,4,FALSE)</x:f>
        <x:v>ASYNC_PHYSICIAN</x:v>
      </x:c>
      <x:c r="F129" s="9" t="str">
        <x:f>VLOOKUP(B129,Reference!$A$8:$F$57,5,FALSE)</x:f>
        <x:v>ASYNC_PHYSICIAN</x:v>
      </x:c>
      <x:c r="G129" s="10" t="n">
        <x:f>IF(E129="UNRESOLVED",0,1)</x:f>
        <x:v>1</x:v>
      </x:c>
      <x:c r="H129" s="10" t="n">
        <x:f>IF(G129=0,"unscored",IF(D129=E129,1,0))</x:f>
        <x:v>0</x:v>
      </x:c>
      <x:c r="I129" s="10" t="n">
        <x:f>IF(D129=F129,1,0)</x:f>
        <x:v>0</x:v>
      </x:c>
      <x:c r="J129" s="10" t="n">
        <x:f>IF(G129=0,"excluded",I129)</x:f>
        <x:v>0</x:v>
      </x:c>
      <x:c r="K129" s="10" t="str">
        <x:f>IF(F129="SELF_CARE",IF(D129="SELF_CARE","TN","FP"),IF(D129="SELF_CARE","FN","TP"))</x:f>
        <x:v>FN</x:v>
      </x:c>
      <x:c r="L129" s="9" t="str">
        <x:v>Likely ankle sprain with some weight bearing and no clear red flags reported. Inability to walk four steps or tenderness directly over bone warrants same-day assessment.</x:v>
      </x:c>
      <x:c r="M129" s="9" t="str">
        <x:v>outputs/stripped-3bucket-astra-max-2026-09-15/C22-parsed.json</x:v>
      </x:c>
    </x:row>
    <x:row r="130" ht="40" customHeight="1">
      <x:c r="A130" s="9" t="str">
        <x:v>Astra max</x:v>
      </x:c>
      <x:c r="B130" s="9" t="str">
        <x:v>C23</x:v>
      </x:c>
      <x:c r="C130" s="9" t="str">
        <x:v>URGENT_ESCALATION</x:v>
      </x:c>
      <x:c r="D130" s="9" t="str">
        <x:v>URGENT_ESCALATION</x:v>
      </x:c>
      <x:c r="E130" s="9" t="str">
        <x:f>VLOOKUP(B130,Reference!$A$8:$F$57,4,FALSE)</x:f>
        <x:v>URGENT_ESCALATION</x:v>
      </x:c>
      <x:c r="F130" s="9" t="str">
        <x:f>VLOOKUP(B130,Reference!$A$8:$F$57,5,FALSE)</x:f>
        <x:v>URGENT_ESCALATION</x:v>
      </x:c>
      <x:c r="G130" s="10" t="n">
        <x:f>IF(E130="UNRESOLVED",0,1)</x:f>
        <x:v>1</x:v>
      </x:c>
      <x:c r="H130" s="10" t="n">
        <x:f>IF(G130=0,"unscored",IF(D130=E130,1,0))</x:f>
        <x:v>1</x:v>
      </x:c>
      <x:c r="I130" s="10" t="n">
        <x:f>IF(D130=F130,1,0)</x:f>
        <x:v>1</x:v>
      </x:c>
      <x:c r="J130" s="10" t="n">
        <x:f>IF(G130=0,"excluded",I130)</x:f>
        <x:v>1</x:v>
      </x:c>
      <x:c r="K130" s="10" t="str">
        <x:f>IF(F130="SELF_CARE",IF(D130="SELF_CARE","TN","FP"),IF(D130="SELF_CARE","FN","TP"))</x:f>
        <x:v>TP</x:v>
      </x:c>
      <x:c r="L130" s="9" t="str">
        <x:v>Sudden slurred speech and one-sided facial droop can signal a TIA or stroke, even after resolving. Call emergency services now; do not drive yourself.</x:v>
      </x:c>
      <x:c r="M130" s="9" t="str">
        <x:v>outputs/stripped-3bucket-astra-max-2026-09-15/C23-parsed.json</x:v>
      </x:c>
    </x:row>
    <x:row r="131" ht="40" customHeight="1">
      <x:c r="A131" s="9" t="str">
        <x:v>Astra max</x:v>
      </x:c>
      <x:c r="B131" s="9" t="str">
        <x:v>C24</x:v>
      </x:c>
      <x:c r="C131" s="9" t="str">
        <x:v>ASYNC_PHYSICIAN</x:v>
      </x:c>
      <x:c r="D131" s="9" t="str">
        <x:v>ASYNC_PHYSICIAN</x:v>
      </x:c>
      <x:c r="E131" s="9" t="str">
        <x:f>VLOOKUP(B131,Reference!$A$8:$F$57,4,FALSE)</x:f>
        <x:v>ASYNC_PHYSICIAN</x:v>
      </x:c>
      <x:c r="F131" s="9" t="str">
        <x:f>VLOOKUP(B131,Reference!$A$8:$F$57,5,FALSE)</x:f>
        <x:v>ASYNC_PHYSICIAN</x:v>
      </x:c>
      <x:c r="G131" s="10" t="n">
        <x:f>IF(E131="UNRESOLVED",0,1)</x:f>
        <x:v>1</x:v>
      </x:c>
      <x:c r="H131" s="10" t="n">
        <x:f>IF(G131=0,"unscored",IF(D131=E131,1,0))</x:f>
        <x:v>1</x:v>
      </x:c>
      <x:c r="I131" s="10" t="n">
        <x:f>IF(D131=F131,1,0)</x:f>
        <x:v>1</x:v>
      </x:c>
      <x:c r="J131" s="10" t="n">
        <x:f>IF(G131=0,"excluded",I131)</x:f>
        <x:v>1</x:v>
      </x:c>
      <x:c r="K131" s="10" t="str">
        <x:f>IF(F131="SELF_CARE",IF(D131="SELF_CARE","TN","FP"),IF(D131="SELF_CARE","FN","TP"))</x:f>
        <x:v>TP</x:v>
      </x:c>
      <x:c r="L131" s="9" t="str">
        <x:v>Routine birth control refill with no reported problems or urgent red flags.</x:v>
      </x:c>
      <x:c r="M131" s="9" t="str">
        <x:v>outputs/stripped-3bucket-astra-max-2026-09-15/C24-parsed.json</x:v>
      </x:c>
    </x:row>
    <x:row r="132" ht="40" customHeight="1">
      <x:c r="A132" s="9" t="str">
        <x:v>Astra max</x:v>
      </x:c>
      <x:c r="B132" s="9" t="str">
        <x:v>C25</x:v>
      </x:c>
      <x:c r="C132" s="9" t="str">
        <x:v>URGENT_ESCALATION</x:v>
      </x:c>
      <x:c r="D132" s="9" t="str">
        <x:v>URGENT_ESCALATION</x:v>
      </x:c>
      <x:c r="E132" s="9" t="str">
        <x:f>VLOOKUP(B132,Reference!$A$8:$F$57,4,FALSE)</x:f>
        <x:v>UNRESOLVED</x:v>
      </x:c>
      <x:c r="F132" s="9" t="str">
        <x:f>VLOOKUP(B132,Reference!$A$8:$F$57,5,FALSE)</x:f>
        <x:v>URGENT_ESCALATION</x:v>
      </x:c>
      <x:c r="G132" s="10" t="n">
        <x:f>IF(E132="UNRESOLVED",0,1)</x:f>
        <x:v>0</x:v>
      </x:c>
      <x:c r="H132" s="10" t="str">
        <x:f>IF(G132=0,"unscored",IF(D132=E132,1,0))</x:f>
        <x:v>unscored</x:v>
      </x:c>
      <x:c r="I132" s="10" t="n">
        <x:f>IF(D132=F132,1,0)</x:f>
        <x:v>1</x:v>
      </x:c>
      <x:c r="J132" s="10" t="str">
        <x:f>IF(G132=0,"excluded",I132)</x:f>
        <x:v>excluded</x:v>
      </x:c>
      <x:c r="K132" s="10" t="str">
        <x:f>IF(F132="SELF_CARE",IF(D132="SELF_CARE","TN","FP"),IF(D132="SELF_CARE","FN","TP"))</x:f>
        <x:v>TP</x:v>
      </x:c>
      <x:c r="L132" s="9" t="str">
        <x:v>One-sided calf pain, swelling, and warmth after recent air travel raise concern for a deep vein thrombosis (blood clot), requiring urgent same-day evaluation.</x:v>
      </x:c>
      <x:c r="M132" s="9" t="str">
        <x:v>outputs/stripped-3bucket-astra-max-2026-09-15/C25-parsed.json</x:v>
      </x:c>
    </x:row>
    <x:row r="133" ht="40" customHeight="1">
      <x:c r="A133" s="9" t="str">
        <x:v>Astra max</x:v>
      </x:c>
      <x:c r="B133" s="9" t="str">
        <x:v>C26</x:v>
      </x:c>
      <x:c r="C133" s="9" t="str">
        <x:v>SELF_CARE</x:v>
      </x:c>
      <x:c r="D133" s="9" t="str">
        <x:v>SELF_CARE</x:v>
      </x:c>
      <x:c r="E133" s="9" t="str">
        <x:f>VLOOKUP(B133,Reference!$A$8:$F$57,4,FALSE)</x:f>
        <x:v>SELF_CARE</x:v>
      </x:c>
      <x:c r="F133" s="9" t="str">
        <x:f>VLOOKUP(B133,Reference!$A$8:$F$57,5,FALSE)</x:f>
        <x:v>SELF_CARE</x:v>
      </x:c>
      <x:c r="G133" s="10" t="n">
        <x:f>IF(E133="UNRESOLVED",0,1)</x:f>
        <x:v>1</x:v>
      </x:c>
      <x:c r="H133" s="10" t="n">
        <x:f>IF(G133=0,"unscored",IF(D133=E133,1,0))</x:f>
        <x:v>1</x:v>
      </x:c>
      <x:c r="I133" s="10" t="n">
        <x:f>IF(D133=F133,1,0)</x:f>
        <x:v>1</x:v>
      </x:c>
      <x:c r="J133" s="10" t="n">
        <x:f>IF(G133=0,"excluded",I133)</x:f>
        <x:v>1</x:v>
      </x:c>
      <x:c r="K133" s="10" t="str">
        <x:f>IF(F133="SELF_CARE",IF(D133="SELF_CARE","TN","FP"),IF(D133="SELF_CARE","FN","TP"))</x:f>
        <x:v>TN</x:v>
      </x:c>
      <x:c r="L133" s="9" t="str">
        <x:v>Mild throat irritation since yesterday without fever or difficulty swallowing is appropriate for home symptom relief.</x:v>
      </x:c>
      <x:c r="M133" s="9" t="str">
        <x:v>outputs/stripped-3bucket-astra-max-2026-09-15/C26-parsed.json</x:v>
      </x:c>
    </x:row>
    <x:row r="134" ht="44" customHeight="1">
      <x:c r="A134" s="9" t="str">
        <x:v>Astra max</x:v>
      </x:c>
      <x:c r="B134" s="9" t="str">
        <x:v>C27</x:v>
      </x:c>
      <x:c r="C134" s="9" t="str">
        <x:v>URGENT_ESCALATION</x:v>
      </x:c>
      <x:c r="D134" s="9" t="str">
        <x:v>URGENT_ESCALATION</x:v>
      </x:c>
      <x:c r="E134" s="9" t="str">
        <x:f>VLOOKUP(B134,Reference!$A$8:$F$57,4,FALSE)</x:f>
        <x:v>URGENT_ESCALATION</x:v>
      </x:c>
      <x:c r="F134" s="9" t="str">
        <x:f>VLOOKUP(B134,Reference!$A$8:$F$57,5,FALSE)</x:f>
        <x:v>URGENT_ESCALATION</x:v>
      </x:c>
      <x:c r="G134" s="10" t="n">
        <x:f>IF(E134="UNRESOLVED",0,1)</x:f>
        <x:v>1</x:v>
      </x:c>
      <x:c r="H134" s="10" t="n">
        <x:f>IF(G134=0,"unscored",IF(D134=E134,1,0))</x:f>
        <x:v>1</x:v>
      </x:c>
      <x:c r="I134" s="10" t="n">
        <x:f>IF(D134=F134,1,0)</x:f>
        <x:v>1</x:v>
      </x:c>
      <x:c r="J134" s="10" t="n">
        <x:f>IF(G134=0,"excluded",I134)</x:f>
        <x:v>1</x:v>
      </x:c>
      <x:c r="K134" s="10" t="str">
        <x:f>IF(F134="SELF_CARE",IF(D134="SELF_CARE","TN","FP"),IF(D134="SELF_CARE","FN","TP"))</x:f>
        <x:v>TP</x:v>
      </x:c>
      <x:c r="L134" s="9" t="str">
        <x:v>Severe abdominal pain, bloating, repeated vomiting, and no bowel movement raise concern for bowel obstruction and require immediate emergency department evaluation.</x:v>
      </x:c>
      <x:c r="M134" s="9" t="str">
        <x:v>outputs/stripped-3bucket-astra-max-2026-09-15/C27-parsed.json</x:v>
      </x:c>
    </x:row>
    <x:row r="135" ht="40" customHeight="1">
      <x:c r="A135" s="9" t="str">
        <x:v>Astra max</x:v>
      </x:c>
      <x:c r="B135" s="9" t="str">
        <x:v>C28</x:v>
      </x:c>
      <x:c r="C135" s="9" t="str">
        <x:v>URGENT_ESCALATION</x:v>
      </x:c>
      <x:c r="D135" s="9" t="str">
        <x:v>URGENT_ESCALATION</x:v>
      </x:c>
      <x:c r="E135" s="9" t="str">
        <x:f>VLOOKUP(B135,Reference!$A$8:$F$57,4,FALSE)</x:f>
        <x:v>URGENT_ESCALATION</x:v>
      </x:c>
      <x:c r="F135" s="9" t="str">
        <x:f>VLOOKUP(B135,Reference!$A$8:$F$57,5,FALSE)</x:f>
        <x:v>URGENT_ESCALATION</x:v>
      </x:c>
      <x:c r="G135" s="10" t="n">
        <x:f>IF(E135="UNRESOLVED",0,1)</x:f>
        <x:v>1</x:v>
      </x:c>
      <x:c r="H135" s="10" t="n">
        <x:f>IF(G135=0,"unscored",IF(D135=E135,1,0))</x:f>
        <x:v>1</x:v>
      </x:c>
      <x:c r="I135" s="10" t="n">
        <x:f>IF(D135=F135,1,0)</x:f>
        <x:v>1</x:v>
      </x:c>
      <x:c r="J135" s="10" t="n">
        <x:f>IF(G135=0,"excluded",I135)</x:f>
        <x:v>1</x:v>
      </x:c>
      <x:c r="K135" s="10" t="str">
        <x:f>IF(F135="SELF_CARE",IF(D135="SELF_CARE","TN","FP"),IF(D135="SELF_CARE","FN","TP"))</x:f>
        <x:v>TP</x:v>
      </x:c>
      <x:c r="L135" s="9" t="str">
        <x:v>Bleeding more than spotting with cramping at 8 weeks pregnant warrants urgent same-day assessment for possible miscarriage or ectopic pregnancy.</x:v>
      </x:c>
      <x:c r="M135" s="9" t="str">
        <x:v>outputs/stripped-3bucket-astra-max-2026-09-15/C28-parsed.json</x:v>
      </x:c>
    </x:row>
    <x:row r="136" ht="40" customHeight="1">
      <x:c r="A136" s="9" t="str">
        <x:v>Astra max</x:v>
      </x:c>
      <x:c r="B136" s="9" t="str">
        <x:v>C29</x:v>
      </x:c>
      <x:c r="C136" s="9" t="str">
        <x:v>ASYNC_PHYSICIAN</x:v>
      </x:c>
      <x:c r="D136" s="9" t="str">
        <x:v>ASYNC_PHYSICIAN</x:v>
      </x:c>
      <x:c r="E136" s="9" t="str">
        <x:f>VLOOKUP(B136,Reference!$A$8:$F$57,4,FALSE)</x:f>
        <x:v>ASYNC_PHYSICIAN</x:v>
      </x:c>
      <x:c r="F136" s="9" t="str">
        <x:f>VLOOKUP(B136,Reference!$A$8:$F$57,5,FALSE)</x:f>
        <x:v>ASYNC_PHYSICIAN</x:v>
      </x:c>
      <x:c r="G136" s="10" t="n">
        <x:f>IF(E136="UNRESOLVED",0,1)</x:f>
        <x:v>1</x:v>
      </x:c>
      <x:c r="H136" s="10" t="n">
        <x:f>IF(G136=0,"unscored",IF(D136=E136,1,0))</x:f>
        <x:v>1</x:v>
      </x:c>
      <x:c r="I136" s="10" t="n">
        <x:f>IF(D136=F136,1,0)</x:f>
        <x:v>1</x:v>
      </x:c>
      <x:c r="J136" s="10" t="n">
        <x:f>IF(G136=0,"excluded",I136)</x:f>
        <x:v>1</x:v>
      </x:c>
      <x:c r="K136" s="10" t="str">
        <x:f>IF(F136="SELF_CARE",IF(D136="SELF_CARE","TN","FP"),IF(D136="SELF_CARE","FN","TP"))</x:f>
        <x:v>TP</x:v>
      </x:c>
      <x:c r="L136" s="9" t="str">
        <x:v>Routine cholesterol results review and guidance are appropriate for asynchronous physician assessment; no urgent symptoms reported.</x:v>
      </x:c>
      <x:c r="M136" s="9" t="str">
        <x:v>outputs/stripped-3bucket-astra-max-2026-09-15/C29-parsed.json</x:v>
      </x:c>
    </x:row>
    <x:row r="137" ht="40" customHeight="1">
      <x:c r="A137" s="9" t="str">
        <x:v>Astra max</x:v>
      </x:c>
      <x:c r="B137" s="9" t="str">
        <x:v>C30</x:v>
      </x:c>
      <x:c r="C137" s="9" t="str">
        <x:v>SELF_CARE</x:v>
      </x:c>
      <x:c r="D137" s="9" t="str">
        <x:v>SELF_CARE</x:v>
      </x:c>
      <x:c r="E137" s="9" t="str">
        <x:f>VLOOKUP(B137,Reference!$A$8:$F$57,4,FALSE)</x:f>
        <x:v>SELF_CARE</x:v>
      </x:c>
      <x:c r="F137" s="9" t="str">
        <x:f>VLOOKUP(B137,Reference!$A$8:$F$57,5,FALSE)</x:f>
        <x:v>SELF_CARE</x:v>
      </x:c>
      <x:c r="G137" s="10" t="n">
        <x:f>IF(E137="UNRESOLVED",0,1)</x:f>
        <x:v>1</x:v>
      </x:c>
      <x:c r="H137" s="10" t="n">
        <x:f>IF(G137=0,"unscored",IF(D137=E137,1,0))</x:f>
        <x:v>1</x:v>
      </x:c>
      <x:c r="I137" s="10" t="n">
        <x:f>IF(D137=F137,1,0)</x:f>
        <x:v>1</x:v>
      </x:c>
      <x:c r="J137" s="10" t="n">
        <x:f>IF(G137=0,"excluded",I137)</x:f>
        <x:v>1</x:v>
      </x:c>
      <x:c r="K137" s="10" t="str">
        <x:f>IF(F137="SELF_CARE",IF(D137="SELF_CARE","TN","FP"),IF(D137="SELF_CARE","FN","TP"))</x:f>
        <x:v>TN</x:v>
      </x:c>
      <x:c r="L137" s="9" t="str">
        <x:v>Localized rash consistent with poison ivy dermatitis, without reported fever, breathing difficulty, or other urgent warning signs.</x:v>
      </x:c>
      <x:c r="M137" s="9" t="str">
        <x:v>outputs/stripped-3bucket-astra-max-2026-09-15/C30-parsed.json</x:v>
      </x:c>
    </x:row>
    <x:row r="138" ht="40" customHeight="1">
      <x:c r="A138" s="9" t="str">
        <x:v>Astra max</x:v>
      </x:c>
      <x:c r="B138" s="9" t="str">
        <x:v>C31</x:v>
      </x:c>
      <x:c r="C138" s="9" t="str">
        <x:v>URGENT_ESCALATION</x:v>
      </x:c>
      <x:c r="D138" s="9" t="str">
        <x:v>URGENT_ESCALATION</x:v>
      </x:c>
      <x:c r="E138" s="9" t="str">
        <x:f>VLOOKUP(B138,Reference!$A$8:$F$57,4,FALSE)</x:f>
        <x:v>URGENT_ESCALATION</x:v>
      </x:c>
      <x:c r="F138" s="9" t="str">
        <x:f>VLOOKUP(B138,Reference!$A$8:$F$57,5,FALSE)</x:f>
        <x:v>URGENT_ESCALATION</x:v>
      </x:c>
      <x:c r="G138" s="10" t="n">
        <x:f>IF(E138="UNRESOLVED",0,1)</x:f>
        <x:v>1</x:v>
      </x:c>
      <x:c r="H138" s="10" t="n">
        <x:f>IF(G138=0,"unscored",IF(D138=E138,1,0))</x:f>
        <x:v>1</x:v>
      </x:c>
      <x:c r="I138" s="10" t="n">
        <x:f>IF(D138=F138,1,0)</x:f>
        <x:v>1</x:v>
      </x:c>
      <x:c r="J138" s="10" t="n">
        <x:f>IF(G138=0,"excluded",I138)</x:f>
        <x:v>1</x:v>
      </x:c>
      <x:c r="K138" s="10" t="str">
        <x:f>IF(F138="SELF_CARE",IF(D138="SELF_CARE","TN","FP"),IF(D138="SELF_CARE","FN","TP"))</x:f>
        <x:v>TP</x:v>
      </x:c>
      <x:c r="L138" s="9" t="str">
        <x:v>Headache with fever, stiff neck, and light sensitivity could indicate meningitis. Seek emergency care now.</x:v>
      </x:c>
      <x:c r="M138" s="9" t="str">
        <x:v>outputs/stripped-3bucket-astra-max-2026-09-15/C31-parsed.json</x:v>
      </x:c>
    </x:row>
    <x:row r="139" ht="44" customHeight="1">
      <x:c r="A139" s="9" t="str">
        <x:v>Astra max</x:v>
      </x:c>
      <x:c r="B139" s="9" t="str">
        <x:v>C32</x:v>
      </x:c>
      <x:c r="C139" s="9" t="str">
        <x:v>SELF_CARE</x:v>
      </x:c>
      <x:c r="D139" s="9" t="str">
        <x:v>SELF_CARE</x:v>
      </x:c>
      <x:c r="E139" s="9" t="str">
        <x:f>VLOOKUP(B139,Reference!$A$8:$F$57,4,FALSE)</x:f>
        <x:v>ASYNC_PHYSICIAN</x:v>
      </x:c>
      <x:c r="F139" s="9" t="str">
        <x:f>VLOOKUP(B139,Reference!$A$8:$F$57,5,FALSE)</x:f>
        <x:v>SELF_CARE</x:v>
      </x:c>
      <x:c r="G139" s="10" t="n">
        <x:f>IF(E139="UNRESOLVED",0,1)</x:f>
        <x:v>1</x:v>
      </x:c>
      <x:c r="H139" s="10" t="n">
        <x:f>IF(G139=0,"unscored",IF(D139=E139,1,0))</x:f>
        <x:v>0</x:v>
      </x:c>
      <x:c r="I139" s="10" t="n">
        <x:f>IF(D139=F139,1,0)</x:f>
        <x:v>1</x:v>
      </x:c>
      <x:c r="J139" s="10" t="n">
        <x:f>IF(G139=0,"excluded",I139)</x:f>
        <x:v>1</x:v>
      </x:c>
      <x:c r="K139" s="10" t="str">
        <x:f>IF(F139="SELF_CARE",IF(D139="SELF_CARE","TN","FP"),IF(D139="SELF_CARE","FN","TP"))</x:f>
        <x:v>TN</x:v>
      </x:c>
      <x:c r="L139" s="9" t="str">
        <x:v>Recent ear pain with normal eating/activity and no reported red flags supports initial home care and monitoring; seek evaluation if worsening or lasting over 48 hours.</x:v>
      </x:c>
      <x:c r="M139" s="9" t="str">
        <x:v>outputs/stripped-3bucket-astra-max-2026-09-15/C32-parsed.json</x:v>
      </x:c>
    </x:row>
    <x:row r="140" ht="44" customHeight="1">
      <x:c r="A140" s="9" t="str">
        <x:v>Astra max</x:v>
      </x:c>
      <x:c r="B140" s="9" t="str">
        <x:v>C33</x:v>
      </x:c>
      <x:c r="C140" s="9" t="str">
        <x:v>URGENT_ESCALATION</x:v>
      </x:c>
      <x:c r="D140" s="9" t="str">
        <x:v>URGENT_ESCALATION</x:v>
      </x:c>
      <x:c r="E140" s="9" t="str">
        <x:f>VLOOKUP(B140,Reference!$A$8:$F$57,4,FALSE)</x:f>
        <x:v>URGENT_ESCALATION</x:v>
      </x:c>
      <x:c r="F140" s="9" t="str">
        <x:f>VLOOKUP(B140,Reference!$A$8:$F$57,5,FALSE)</x:f>
        <x:v>URGENT_ESCALATION</x:v>
      </x:c>
      <x:c r="G140" s="10" t="n">
        <x:f>IF(E140="UNRESOLVED",0,1)</x:f>
        <x:v>1</x:v>
      </x:c>
      <x:c r="H140" s="10" t="n">
        <x:f>IF(G140=0,"unscored",IF(D140=E140,1,0))</x:f>
        <x:v>1</x:v>
      </x:c>
      <x:c r="I140" s="10" t="n">
        <x:f>IF(D140=F140,1,0)</x:f>
        <x:v>1</x:v>
      </x:c>
      <x:c r="J140" s="10" t="n">
        <x:f>IF(G140=0,"excluded",I140)</x:f>
        <x:v>1</x:v>
      </x:c>
      <x:c r="K140" s="10" t="str">
        <x:f>IF(F140="SELF_CARE",IF(D140="SELF_CARE","TN","FP"),IF(D140="SELF_CARE","FN","TP"))</x:f>
        <x:v>TP</x:v>
      </x:c>
      <x:c r="L140" s="9" t="str">
        <x:v>Blood sugar over 400 with vomiting and inability to keep water down may indicate a life-threatening diabetic crisis and dehydration. Go to an emergency department now.</x:v>
      </x:c>
      <x:c r="M140" s="9" t="str">
        <x:v>outputs/stripped-3bucket-astra-max-2026-09-15/C33-parsed.json</x:v>
      </x:c>
    </x:row>
    <x:row r="141" ht="40" customHeight="1">
      <x:c r="A141" s="9" t="str">
        <x:v>Astra max</x:v>
      </x:c>
      <x:c r="B141" s="9" t="str">
        <x:v>C34</x:v>
      </x:c>
      <x:c r="C141" s="9" t="str">
        <x:v>SELF_CARE</x:v>
      </x:c>
      <x:c r="D141" s="9" t="str">
        <x:v>SELF_CARE</x:v>
      </x:c>
      <x:c r="E141" s="9" t="str">
        <x:f>VLOOKUP(B141,Reference!$A$8:$F$57,4,FALSE)</x:f>
        <x:v>ASYNC_PHYSICIAN</x:v>
      </x:c>
      <x:c r="F141" s="9" t="str">
        <x:f>VLOOKUP(B141,Reference!$A$8:$F$57,5,FALSE)</x:f>
        <x:v>SELF_CARE</x:v>
      </x:c>
      <x:c r="G141" s="10" t="n">
        <x:f>IF(E141="UNRESOLVED",0,1)</x:f>
        <x:v>1</x:v>
      </x:c>
      <x:c r="H141" s="10" t="n">
        <x:f>IF(G141=0,"unscored",IF(D141=E141,1,0))</x:f>
        <x:v>0</x:v>
      </x:c>
      <x:c r="I141" s="10" t="n">
        <x:f>IF(D141=F141,1,0)</x:f>
        <x:v>1</x:v>
      </x:c>
      <x:c r="J141" s="10" t="n">
        <x:f>IF(G141=0,"excluded",I141)</x:f>
        <x:v>1</x:v>
      </x:c>
      <x:c r="K141" s="10" t="str">
        <x:f>IF(F141="SELF_CARE",IF(D141="SELF_CARE","TN","FP"),IF(D141="SELF_CARE","FN","TP"))</x:f>
        <x:v>TN</x:v>
      </x:c>
      <x:c r="L141" s="9" t="str">
        <x:v>Symptoms are consistent with seasonal allergies, with no reported red flags; OTC treatment and self-care are appropriate.</x:v>
      </x:c>
      <x:c r="M141" s="9" t="str">
        <x:v>outputs/stripped-3bucket-astra-max-2026-09-15/C34-parsed.json</x:v>
      </x:c>
    </x:row>
    <x:row r="142" ht="40" customHeight="1">
      <x:c r="A142" s="9" t="str">
        <x:v>Astra max</x:v>
      </x:c>
      <x:c r="B142" s="9" t="str">
        <x:v>C35</x:v>
      </x:c>
      <x:c r="C142" s="9" t="str">
        <x:v>URGENT_ESCALATION</x:v>
      </x:c>
      <x:c r="D142" s="9" t="str">
        <x:v>URGENT_ESCALATION</x:v>
      </x:c>
      <x:c r="E142" s="9" t="str">
        <x:f>VLOOKUP(B142,Reference!$A$8:$F$57,4,FALSE)</x:f>
        <x:v>URGENT_ESCALATION</x:v>
      </x:c>
      <x:c r="F142" s="9" t="str">
        <x:f>VLOOKUP(B142,Reference!$A$8:$F$57,5,FALSE)</x:f>
        <x:v>URGENT_ESCALATION</x:v>
      </x:c>
      <x:c r="G142" s="10" t="n">
        <x:f>IF(E142="UNRESOLVED",0,1)</x:f>
        <x:v>1</x:v>
      </x:c>
      <x:c r="H142" s="10" t="n">
        <x:f>IF(G142=0,"unscored",IF(D142=E142,1,0))</x:f>
        <x:v>1</x:v>
      </x:c>
      <x:c r="I142" s="10" t="n">
        <x:f>IF(D142=F142,1,0)</x:f>
        <x:v>1</x:v>
      </x:c>
      <x:c r="J142" s="10" t="n">
        <x:f>IF(G142=0,"excluded",I142)</x:f>
        <x:v>1</x:v>
      </x:c>
      <x:c r="K142" s="10" t="str">
        <x:f>IF(F142="SELF_CARE",IF(D142="SELF_CARE","TN","FP"),IF(D142="SELF_CARE","FN","TP"))</x:f>
        <x:v>TP</x:v>
      </x:c>
      <x:c r="L142" s="9" t="str">
        <x:v>Black, tarry stools with lightheadedness can indicate gastrointestinal bleeding and significant blood loss. Emergency evaluation is needed now.</x:v>
      </x:c>
      <x:c r="M142" s="9" t="str">
        <x:v>outputs/stripped-3bucket-astra-max-2026-09-15/C35-parsed.json</x:v>
      </x:c>
    </x:row>
    <x:row r="143" ht="40" customHeight="1">
      <x:c r="A143" s="9" t="str">
        <x:v>Astra max</x:v>
      </x:c>
      <x:c r="B143" s="9" t="str">
        <x:v>C36</x:v>
      </x:c>
      <x:c r="C143" s="9" t="str">
        <x:v>ASYNC_PHYSICIAN</x:v>
      </x:c>
      <x:c r="D143" s="9" t="str">
        <x:v>ASYNC_PHYSICIAN</x:v>
      </x:c>
      <x:c r="E143" s="9" t="str">
        <x:f>VLOOKUP(B143,Reference!$A$8:$F$57,4,FALSE)</x:f>
        <x:v>ASYNC_PHYSICIAN</x:v>
      </x:c>
      <x:c r="F143" s="9" t="str">
        <x:f>VLOOKUP(B143,Reference!$A$8:$F$57,5,FALSE)</x:f>
        <x:v>ASYNC_PHYSICIAN</x:v>
      </x:c>
      <x:c r="G143" s="10" t="n">
        <x:f>IF(E143="UNRESOLVED",0,1)</x:f>
        <x:v>1</x:v>
      </x:c>
      <x:c r="H143" s="10" t="n">
        <x:f>IF(G143=0,"unscored",IF(D143=E143,1,0))</x:f>
        <x:v>1</x:v>
      </x:c>
      <x:c r="I143" s="10" t="n">
        <x:f>IF(D143=F143,1,0)</x:f>
        <x:v>1</x:v>
      </x:c>
      <x:c r="J143" s="10" t="n">
        <x:f>IF(G143=0,"excluded",I143)</x:f>
        <x:v>1</x:v>
      </x:c>
      <x:c r="K143" s="10" t="str">
        <x:f>IF(F143="SELF_CARE",IF(D143="SELF_CARE","TN","FP"),IF(D143="SELF_CARE","FN","TP"))</x:f>
        <x:v>TP</x:v>
      </x:c>
      <x:c r="L143" s="9" t="str">
        <x:v>Persistent acne despite OTC treatment warrants nonurgent clinician review of treatment options; no urgent red flags reported.</x:v>
      </x:c>
      <x:c r="M143" s="9" t="str">
        <x:v>outputs/stripped-3bucket-astra-max-2026-09-15/C36-parsed.json</x:v>
      </x:c>
    </x:row>
    <x:row r="144" ht="44" customHeight="1">
      <x:c r="A144" s="9" t="str">
        <x:v>Astra max</x:v>
      </x:c>
      <x:c r="B144" s="9" t="str">
        <x:v>C37</x:v>
      </x:c>
      <x:c r="C144" s="9" t="str">
        <x:v>URGENT_ESCALATION</x:v>
      </x:c>
      <x:c r="D144" s="9" t="str">
        <x:v>URGENT_ESCALATION</x:v>
      </x:c>
      <x:c r="E144" s="9" t="str">
        <x:f>VLOOKUP(B144,Reference!$A$8:$F$57,4,FALSE)</x:f>
        <x:v>URGENT_ESCALATION</x:v>
      </x:c>
      <x:c r="F144" s="9" t="str">
        <x:f>VLOOKUP(B144,Reference!$A$8:$F$57,5,FALSE)</x:f>
        <x:v>URGENT_ESCALATION</x:v>
      </x:c>
      <x:c r="G144" s="10" t="n">
        <x:f>IF(E144="UNRESOLVED",0,1)</x:f>
        <x:v>1</x:v>
      </x:c>
      <x:c r="H144" s="10" t="n">
        <x:f>IF(G144=0,"unscored",IF(D144=E144,1,0))</x:f>
        <x:v>1</x:v>
      </x:c>
      <x:c r="I144" s="10" t="n">
        <x:f>IF(D144=F144,1,0)</x:f>
        <x:v>1</x:v>
      </x:c>
      <x:c r="J144" s="10" t="n">
        <x:f>IF(G144=0,"excluded",I144)</x:f>
        <x:v>1</x:v>
      </x:c>
      <x:c r="K144" s="10" t="str">
        <x:f>IF(F144="SELF_CARE",IF(D144="SELF_CARE","TN","FP"),IF(D144="SELF_CARE","FN","TP"))</x:f>
        <x:v>TP</x:v>
      </x:c>
      <x:c r="L144" s="9" t="str">
        <x:v>Sudden severe testicular pain with swelling and nausea could indicate testicular torsion, a time-critical emergency. Go to an emergency department immediately.</x:v>
      </x:c>
      <x:c r="M144" s="9" t="str">
        <x:v>outputs/stripped-3bucket-astra-max-2026-09-15/C37-parsed.json</x:v>
      </x:c>
    </x:row>
    <x:row r="145" ht="40" customHeight="1">
      <x:c r="A145" s="9" t="str">
        <x:v>Astra max</x:v>
      </x:c>
      <x:c r="B145" s="9" t="str">
        <x:v>C38</x:v>
      </x:c>
      <x:c r="C145" s="9" t="str">
        <x:v>SELF_CARE</x:v>
      </x:c>
      <x:c r="D145" s="9" t="str">
        <x:v>SELF_CARE</x:v>
      </x:c>
      <x:c r="E145" s="9" t="str">
        <x:f>VLOOKUP(B145,Reference!$A$8:$F$57,4,FALSE)</x:f>
        <x:v>ASYNC_PHYSICIAN</x:v>
      </x:c>
      <x:c r="F145" s="9" t="str">
        <x:f>VLOOKUP(B145,Reference!$A$8:$F$57,5,FALSE)</x:f>
        <x:v>SELF_CARE</x:v>
      </x:c>
      <x:c r="G145" s="10" t="n">
        <x:f>IF(E145="UNRESOLVED",0,1)</x:f>
        <x:v>1</x:v>
      </x:c>
      <x:c r="H145" s="10" t="n">
        <x:f>IF(G145=0,"unscored",IF(D145=E145,1,0))</x:f>
        <x:v>0</x:v>
      </x:c>
      <x:c r="I145" s="10" t="n">
        <x:f>IF(D145=F145,1,0)</x:f>
        <x:v>1</x:v>
      </x:c>
      <x:c r="J145" s="10" t="n">
        <x:f>IF(G145=0,"excluded",I145)</x:f>
        <x:v>1</x:v>
      </x:c>
      <x:c r="K145" s="10" t="str">
        <x:f>IF(F145="SELF_CARE",IF(D145="SELF_CARE","TN","FP"),IF(D145="SELF_CARE","FN","TP"))</x:f>
        <x:v>TN</x:v>
      </x:c>
      <x:c r="L145" s="9" t="str">
        <x:v>Improving ankle sprain with a routine question about OTC ibuprofen dosing and duration; no reported red flags or refill request.</x:v>
      </x:c>
      <x:c r="M145" s="9" t="str">
        <x:v>outputs/stripped-3bucket-astra-max-2026-09-15/C38-parsed.json</x:v>
      </x:c>
    </x:row>
    <x:row r="146" ht="40" customHeight="1">
      <x:c r="A146" s="9" t="str">
        <x:v>Astra max</x:v>
      </x:c>
      <x:c r="B146" s="9" t="str">
        <x:v>C39</x:v>
      </x:c>
      <x:c r="C146" s="9" t="str">
        <x:v>URGENT_ESCALATION</x:v>
      </x:c>
      <x:c r="D146" s="9" t="str">
        <x:v>URGENT_ESCALATION</x:v>
      </x:c>
      <x:c r="E146" s="9" t="str">
        <x:f>VLOOKUP(B146,Reference!$A$8:$F$57,4,FALSE)</x:f>
        <x:v>URGENT_ESCALATION</x:v>
      </x:c>
      <x:c r="F146" s="9" t="str">
        <x:f>VLOOKUP(B146,Reference!$A$8:$F$57,5,FALSE)</x:f>
        <x:v>URGENT_ESCALATION</x:v>
      </x:c>
      <x:c r="G146" s="10" t="n">
        <x:f>IF(E146="UNRESOLVED",0,1)</x:f>
        <x:v>1</x:v>
      </x:c>
      <x:c r="H146" s="10" t="n">
        <x:f>IF(G146=0,"unscored",IF(D146=E146,1,0))</x:f>
        <x:v>1</x:v>
      </x:c>
      <x:c r="I146" s="10" t="n">
        <x:f>IF(D146=F146,1,0)</x:f>
        <x:v>1</x:v>
      </x:c>
      <x:c r="J146" s="10" t="n">
        <x:f>IF(G146=0,"excluded",I146)</x:f>
        <x:v>1</x:v>
      </x:c>
      <x:c r="K146" s="10" t="str">
        <x:f>IF(F146="SELF_CARE",IF(D146="SELF_CARE","TN","FP"),IF(D146="SELF_CARE","FN","TP"))</x:f>
        <x:v>TP</x:v>
      </x:c>
      <x:c r="L146" s="9" t="str">
        <x:v>New thoughts of harming the baby with significant postpartum distress require immediate mental health evaluation and assessment of maternal and infant safety.</x:v>
      </x:c>
      <x:c r="M146" s="9" t="str">
        <x:v>outputs/stripped-3bucket-astra-max-2026-09-15/C39-parsed.json</x:v>
      </x:c>
    </x:row>
    <x:row r="147" ht="40" customHeight="1">
      <x:c r="A147" s="9" t="str">
        <x:v>Astra max</x:v>
      </x:c>
      <x:c r="B147" s="9" t="str">
        <x:v>C40</x:v>
      </x:c>
      <x:c r="C147" s="9" t="str">
        <x:v>ASYNC_PHYSICIAN</x:v>
      </x:c>
      <x:c r="D147" s="9" t="str">
        <x:v>ASYNC_PHYSICIAN</x:v>
      </x:c>
      <x:c r="E147" s="9" t="str">
        <x:f>VLOOKUP(B147,Reference!$A$8:$F$57,4,FALSE)</x:f>
        <x:v>ASYNC_PHYSICIAN</x:v>
      </x:c>
      <x:c r="F147" s="9" t="str">
        <x:f>VLOOKUP(B147,Reference!$A$8:$F$57,5,FALSE)</x:f>
        <x:v>ASYNC_PHYSICIAN</x:v>
      </x:c>
      <x:c r="G147" s="10" t="n">
        <x:f>IF(E147="UNRESOLVED",0,1)</x:f>
        <x:v>1</x:v>
      </x:c>
      <x:c r="H147" s="10" t="n">
        <x:f>IF(G147=0,"unscored",IF(D147=E147,1,0))</x:f>
        <x:v>1</x:v>
      </x:c>
      <x:c r="I147" s="10" t="n">
        <x:f>IF(D147=F147,1,0)</x:f>
        <x:v>1</x:v>
      </x:c>
      <x:c r="J147" s="10" t="n">
        <x:f>IF(G147=0,"excluded",I147)</x:f>
        <x:v>1</x:v>
      </x:c>
      <x:c r="K147" s="10" t="str">
        <x:f>IF(F147="SELF_CARE",IF(D147="SELF_CARE","TN","FP"),IF(D147="SELF_CARE","FN","TP"))</x:f>
        <x:v>TP</x:v>
      </x:c>
      <x:c r="L147" s="9" t="str">
        <x:v>Chronic low back pain without reported red flags; a physical therapy referral can be handled nonurgently.</x:v>
      </x:c>
      <x:c r="M147" s="9" t="str">
        <x:v>outputs/stripped-3bucket-astra-max-2026-09-15/C40-parsed.json</x:v>
      </x:c>
    </x:row>
    <x:row r="148" ht="40" customHeight="1">
      <x:c r="A148" s="9" t="str">
        <x:v>Astra max</x:v>
      </x:c>
      <x:c r="B148" s="9" t="str">
        <x:v>C41</x:v>
      </x:c>
      <x:c r="C148" s="9" t="str">
        <x:v>URGENT_ESCALATION</x:v>
      </x:c>
      <x:c r="D148" s="9" t="str">
        <x:v>URGENT_ESCALATION</x:v>
      </x:c>
      <x:c r="E148" s="9" t="str">
        <x:f>VLOOKUP(B148,Reference!$A$8:$F$57,4,FALSE)</x:f>
        <x:v>URGENT_ESCALATION</x:v>
      </x:c>
      <x:c r="F148" s="9" t="str">
        <x:f>VLOOKUP(B148,Reference!$A$8:$F$57,5,FALSE)</x:f>
        <x:v>URGENT_ESCALATION</x:v>
      </x:c>
      <x:c r="G148" s="10" t="n">
        <x:f>IF(E148="UNRESOLVED",0,1)</x:f>
        <x:v>1</x:v>
      </x:c>
      <x:c r="H148" s="10" t="n">
        <x:f>IF(G148=0,"unscored",IF(D148=E148,1,0))</x:f>
        <x:v>1</x:v>
      </x:c>
      <x:c r="I148" s="10" t="n">
        <x:f>IF(D148=F148,1,0)</x:f>
        <x:v>1</x:v>
      </x:c>
      <x:c r="J148" s="10" t="n">
        <x:f>IF(G148=0,"excluded",I148)</x:f>
        <x:v>1</x:v>
      </x:c>
      <x:c r="K148" s="10" t="str">
        <x:f>IF(F148="SELF_CARE",IF(D148="SELF_CARE","TN","FP"),IF(D148="SELF_CARE","FN","TP"))</x:f>
        <x:v>TP</x:v>
      </x:c>
      <x:c r="L148" s="9" t="str">
        <x:v>Fever, non-blanching purple spots, and unusual sleepiness can signal life-threatening sepsis or meningitis. Call emergency services now.</x:v>
      </x:c>
      <x:c r="M148" s="9" t="str">
        <x:v>outputs/stripped-3bucket-astra-max-2026-09-15/C41-parsed.json</x:v>
      </x:c>
    </x:row>
    <x:row r="149" ht="40" customHeight="1">
      <x:c r="A149" s="9" t="str">
        <x:v>Astra max</x:v>
      </x:c>
      <x:c r="B149" s="9" t="str">
        <x:v>C42</x:v>
      </x:c>
      <x:c r="C149" s="9" t="str">
        <x:v>ASYNC_PHYSICIAN</x:v>
      </x:c>
      <x:c r="D149" s="9" t="str">
        <x:v>ASYNC_PHYSICIAN</x:v>
      </x:c>
      <x:c r="E149" s="9" t="str">
        <x:f>VLOOKUP(B149,Reference!$A$8:$F$57,4,FALSE)</x:f>
        <x:v>ASYNC_PHYSICIAN</x:v>
      </x:c>
      <x:c r="F149" s="9" t="str">
        <x:f>VLOOKUP(B149,Reference!$A$8:$F$57,5,FALSE)</x:f>
        <x:v>ASYNC_PHYSICIAN</x:v>
      </x:c>
      <x:c r="G149" s="10" t="n">
        <x:f>IF(E149="UNRESOLVED",0,1)</x:f>
        <x:v>1</x:v>
      </x:c>
      <x:c r="H149" s="10" t="n">
        <x:f>IF(G149=0,"unscored",IF(D149=E149,1,0))</x:f>
        <x:v>1</x:v>
      </x:c>
      <x:c r="I149" s="10" t="n">
        <x:f>IF(D149=F149,1,0)</x:f>
        <x:v>1</x:v>
      </x:c>
      <x:c r="J149" s="10" t="n">
        <x:f>IF(G149=0,"excluded",I149)</x:f>
        <x:v>1</x:v>
      </x:c>
      <x:c r="K149" s="10" t="str">
        <x:f>IF(F149="SELF_CARE",IF(D149="SELF_CARE","TN","FP"),IF(D149="SELF_CARE","FN","TP"))</x:f>
        <x:v>TP</x:v>
      </x:c>
      <x:c r="L149" s="9" t="str">
        <x:v>Possible perimenopausal symptoms warrant nonurgent clinician review of treatment options; no urgent red flags reported.</x:v>
      </x:c>
      <x:c r="M149" s="9" t="str">
        <x:v>outputs/stripped-3bucket-astra-max-2026-09-15/C42-parsed.json</x:v>
      </x:c>
    </x:row>
    <x:row r="150" ht="44" customHeight="1">
      <x:c r="A150" s="9" t="str">
        <x:v>Astra max</x:v>
      </x:c>
      <x:c r="B150" s="9" t="str">
        <x:v>C43</x:v>
      </x:c>
      <x:c r="C150" s="9" t="str">
        <x:v>URGENT_ESCALATION</x:v>
      </x:c>
      <x:c r="D150" s="9" t="str">
        <x:v>URGENT_ESCALATION</x:v>
      </x:c>
      <x:c r="E150" s="9" t="str">
        <x:f>VLOOKUP(B150,Reference!$A$8:$F$57,4,FALSE)</x:f>
        <x:v>URGENT_ESCALATION</x:v>
      </x:c>
      <x:c r="F150" s="9" t="str">
        <x:f>VLOOKUP(B150,Reference!$A$8:$F$57,5,FALSE)</x:f>
        <x:v>URGENT_ESCALATION</x:v>
      </x:c>
      <x:c r="G150" s="10" t="n">
        <x:f>IF(E150="UNRESOLVED",0,1)</x:f>
        <x:v>1</x:v>
      </x:c>
      <x:c r="H150" s="10" t="n">
        <x:f>IF(G150=0,"unscored",IF(D150=E150,1,0))</x:f>
        <x:v>1</x:v>
      </x:c>
      <x:c r="I150" s="10" t="n">
        <x:f>IF(D150=F150,1,0)</x:f>
        <x:v>1</x:v>
      </x:c>
      <x:c r="J150" s="10" t="n">
        <x:f>IF(G150=0,"excluded",I150)</x:f>
        <x:v>1</x:v>
      </x:c>
      <x:c r="K150" s="10" t="str">
        <x:f>IF(F150="SELF_CARE",IF(D150="SELF_CARE","TN","FP"),IF(D150="SELF_CARE","FN","TP"))</x:f>
        <x:v>TP</x:v>
      </x:c>
      <x:c r="L150" s="9" t="str">
        <x:v>Prolonged cough, night sweats, weight loss, and TB exposure risk raise concern for potentially contagious pulmonary TB, requiring same-day in-person assessment and respiratory precautions.</x:v>
      </x:c>
      <x:c r="M150" s="9" t="str">
        <x:v>outputs/stripped-3bucket-astra-max-2026-09-15/C43-parsed.json</x:v>
      </x:c>
    </x:row>
    <x:row r="151" ht="40" customHeight="1">
      <x:c r="A151" s="9" t="str">
        <x:v>Astra max</x:v>
      </x:c>
      <x:c r="B151" s="9" t="str">
        <x:v>C44</x:v>
      </x:c>
      <x:c r="C151" s="9" t="str">
        <x:v>URGENT_ESCALATION</x:v>
      </x:c>
      <x:c r="D151" s="9" t="str">
        <x:v>URGENT_ESCALATION</x:v>
      </x:c>
      <x:c r="E151" s="9" t="str">
        <x:f>VLOOKUP(B151,Reference!$A$8:$F$57,4,FALSE)</x:f>
        <x:v>URGENT_ESCALATION</x:v>
      </x:c>
      <x:c r="F151" s="9" t="str">
        <x:f>VLOOKUP(B151,Reference!$A$8:$F$57,5,FALSE)</x:f>
        <x:v>URGENT_ESCALATION</x:v>
      </x:c>
      <x:c r="G151" s="10" t="n">
        <x:f>IF(E151="UNRESOLVED",0,1)</x:f>
        <x:v>1</x:v>
      </x:c>
      <x:c r="H151" s="10" t="n">
        <x:f>IF(G151=0,"unscored",IF(D151=E151,1,0))</x:f>
        <x:v>1</x:v>
      </x:c>
      <x:c r="I151" s="10" t="n">
        <x:f>IF(D151=F151,1,0)</x:f>
        <x:v>1</x:v>
      </x:c>
      <x:c r="J151" s="10" t="n">
        <x:f>IF(G151=0,"excluded",I151)</x:f>
        <x:v>1</x:v>
      </x:c>
      <x:c r="K151" s="10" t="str">
        <x:f>IF(F151="SELF_CARE",IF(D151="SELF_CARE","TN","FP"),IF(D151="SELF_CARE","FN","TP"))</x:f>
        <x:v>TP</x:v>
      </x:c>
      <x:c r="L151" s="9" t="str">
        <x:v>Worsening ankle swelling with new breathlessness when lying flat could indicate heart failure with fluid in the lungs and warrants emergency evaluation now.</x:v>
      </x:c>
      <x:c r="M151" s="9" t="str">
        <x:v>outputs/stripped-3bucket-astra-max-2026-09-15/C44-parsed.json</x:v>
      </x:c>
    </x:row>
    <x:row r="152" ht="40" customHeight="1">
      <x:c r="A152" s="9" t="str">
        <x:v>Astra max</x:v>
      </x:c>
      <x:c r="B152" s="9" t="str">
        <x:v>C45</x:v>
      </x:c>
      <x:c r="C152" s="9" t="str">
        <x:v>ASYNC_PHYSICIAN</x:v>
      </x:c>
      <x:c r="D152" s="9" t="str">
        <x:v>ASYNC_PHYSICIAN</x:v>
      </x:c>
      <x:c r="E152" s="9" t="str">
        <x:f>VLOOKUP(B152,Reference!$A$8:$F$57,4,FALSE)</x:f>
        <x:v>ASYNC_PHYSICIAN</x:v>
      </x:c>
      <x:c r="F152" s="9" t="str">
        <x:f>VLOOKUP(B152,Reference!$A$8:$F$57,5,FALSE)</x:f>
        <x:v>ASYNC_PHYSICIAN</x:v>
      </x:c>
      <x:c r="G152" s="10" t="n">
        <x:f>IF(E152="UNRESOLVED",0,1)</x:f>
        <x:v>1</x:v>
      </x:c>
      <x:c r="H152" s="10" t="n">
        <x:f>IF(G152=0,"unscored",IF(D152=E152,1,0))</x:f>
        <x:v>1</x:v>
      </x:c>
      <x:c r="I152" s="10" t="n">
        <x:f>IF(D152=F152,1,0)</x:f>
        <x:v>1</x:v>
      </x:c>
      <x:c r="J152" s="10" t="n">
        <x:f>IF(G152=0,"excluded",I152)</x:f>
        <x:v>1</x:v>
      </x:c>
      <x:c r="K152" s="10" t="str">
        <x:f>IF(F152="SELF_CARE",IF(D152="SELF_CARE","TN","FP"),IF(D152="SELF_CARE","FN","TP"))</x:f>
        <x:v>TP</x:v>
      </x:c>
      <x:c r="L152" s="9" t="str">
        <x:v>STI result interpretation is appropriate for asynchronous clinician review; no urgent symptoms or red flags reported.</x:v>
      </x:c>
      <x:c r="M152" s="9" t="str">
        <x:v>outputs/stripped-3bucket-astra-max-2026-09-15/C45-parsed.json</x:v>
      </x:c>
    </x:row>
    <x:row r="153" ht="40" customHeight="1">
      <x:c r="A153" s="9" t="str">
        <x:v>Astra max</x:v>
      </x:c>
      <x:c r="B153" s="9" t="str">
        <x:v>C46</x:v>
      </x:c>
      <x:c r="C153" s="9" t="str">
        <x:v>ASYNC_PHYSICIAN</x:v>
      </x:c>
      <x:c r="D153" s="9" t="str">
        <x:v>ASYNC_PHYSICIAN</x:v>
      </x:c>
      <x:c r="E153" s="9" t="str">
        <x:f>VLOOKUP(B153,Reference!$A$8:$F$57,4,FALSE)</x:f>
        <x:v>ASYNC_PHYSICIAN</x:v>
      </x:c>
      <x:c r="F153" s="9" t="str">
        <x:f>VLOOKUP(B153,Reference!$A$8:$F$57,5,FALSE)</x:f>
        <x:v>ASYNC_PHYSICIAN</x:v>
      </x:c>
      <x:c r="G153" s="10" t="n">
        <x:f>IF(E153="UNRESOLVED",0,1)</x:f>
        <x:v>1</x:v>
      </x:c>
      <x:c r="H153" s="10" t="n">
        <x:f>IF(G153=0,"unscored",IF(D153=E153,1,0))</x:f>
        <x:v>1</x:v>
      </x:c>
      <x:c r="I153" s="10" t="n">
        <x:f>IF(D153=F153,1,0)</x:f>
        <x:v>1</x:v>
      </x:c>
      <x:c r="J153" s="10" t="n">
        <x:f>IF(G153=0,"excluded",I153)</x:f>
        <x:v>1</x:v>
      </x:c>
      <x:c r="K153" s="10" t="str">
        <x:f>IF(F153="SELF_CARE",IF(D153="SELF_CARE","TN","FP"),IF(D153="SELF_CARE","FN","TP"))</x:f>
        <x:v>TP</x:v>
      </x:c>
      <x:c r="L153" s="9" t="str">
        <x:v>Routine finasteride refill request with no reported side effects or urgent red flags.</x:v>
      </x:c>
      <x:c r="M153" s="9" t="str">
        <x:v>outputs/stripped-3bucket-astra-max-2026-09-15/C46-parsed.json</x:v>
      </x:c>
    </x:row>
    <x:row r="154" ht="40" customHeight="1">
      <x:c r="A154" s="9" t="str">
        <x:v>Astra max</x:v>
      </x:c>
      <x:c r="B154" s="9" t="str">
        <x:v>C47</x:v>
      </x:c>
      <x:c r="C154" s="9" t="str">
        <x:v>ASYNC_PHYSICIAN</x:v>
      </x:c>
      <x:c r="D154" s="9" t="str">
        <x:v>ASYNC_PHYSICIAN</x:v>
      </x:c>
      <x:c r="E154" s="9" t="str">
        <x:f>VLOOKUP(B154,Reference!$A$8:$F$57,4,FALSE)</x:f>
        <x:v>ASYNC_PHYSICIAN</x:v>
      </x:c>
      <x:c r="F154" s="9" t="str">
        <x:f>VLOOKUP(B154,Reference!$A$8:$F$57,5,FALSE)</x:f>
        <x:v>ASYNC_PHYSICIAN</x:v>
      </x:c>
      <x:c r="G154" s="10" t="n">
        <x:f>IF(E154="UNRESOLVED",0,1)</x:f>
        <x:v>1</x:v>
      </x:c>
      <x:c r="H154" s="10" t="n">
        <x:f>IF(G154=0,"unscored",IF(D154=E154,1,0))</x:f>
        <x:v>1</x:v>
      </x:c>
      <x:c r="I154" s="10" t="n">
        <x:f>IF(D154=F154,1,0)</x:f>
        <x:v>1</x:v>
      </x:c>
      <x:c r="J154" s="10" t="n">
        <x:f>IF(G154=0,"excluded",I154)</x:f>
        <x:v>1</x:v>
      </x:c>
      <x:c r="K154" s="10" t="str">
        <x:f>IF(F154="SELF_CARE",IF(D154="SELF_CARE","TN","FP"),IF(D154="SELF_CARE","FN","TP"))</x:f>
        <x:v>TP</x:v>
      </x:c>
      <x:c r="L154" s="9" t="str">
        <x:v>Sleep difficulty lasting a month with daytime fatigue warrants nonurgent clinician assessment; no urgent red flags reported.</x:v>
      </x:c>
      <x:c r="M154" s="9" t="str">
        <x:v>outputs/stripped-3bucket-astra-max-2026-09-15/C47-parsed.json</x:v>
      </x:c>
    </x:row>
    <x:row r="155" ht="44" customHeight="1">
      <x:c r="A155" s="9" t="str">
        <x:v>Astra max</x:v>
      </x:c>
      <x:c r="B155" s="9" t="str">
        <x:v>C48</x:v>
      </x:c>
      <x:c r="C155" s="9" t="str">
        <x:v>URGENT_ESCALATION</x:v>
      </x:c>
      <x:c r="D155" s="9" t="str">
        <x:v>URGENT_ESCALATION</x:v>
      </x:c>
      <x:c r="E155" s="9" t="str">
        <x:f>VLOOKUP(B155,Reference!$A$8:$F$57,4,FALSE)</x:f>
        <x:v>URGENT_ESCALATION</x:v>
      </x:c>
      <x:c r="F155" s="9" t="str">
        <x:f>VLOOKUP(B155,Reference!$A$8:$F$57,5,FALSE)</x:f>
        <x:v>URGENT_ESCALATION</x:v>
      </x:c>
      <x:c r="G155" s="10" t="n">
        <x:f>IF(E155="UNRESOLVED",0,1)</x:f>
        <x:v>1</x:v>
      </x:c>
      <x:c r="H155" s="10" t="n">
        <x:f>IF(G155=0,"unscored",IF(D155=E155,1,0))</x:f>
        <x:v>1</x:v>
      </x:c>
      <x:c r="I155" s="10" t="n">
        <x:f>IF(D155=F155,1,0)</x:f>
        <x:v>1</x:v>
      </x:c>
      <x:c r="J155" s="10" t="n">
        <x:f>IF(G155=0,"excluded",I155)</x:f>
        <x:v>1</x:v>
      </x:c>
      <x:c r="K155" s="10" t="str">
        <x:f>IF(F155="SELF_CARE",IF(D155="SELF_CARE","TN","FP"),IF(D155="SELF_CARE","FN","TP"))</x:f>
        <x:v>TP</x:v>
      </x:c>
      <x:c r="L155" s="9" t="str">
        <x:v>Severe hip pain and inability to bear weight after a fall at age 71 are concerning for a hip fracture. Seek emergency evaluation now and avoid putting weight on the leg.</x:v>
      </x:c>
      <x:c r="M155" s="9" t="str">
        <x:v>outputs/stripped-3bucket-astra-max-2026-09-15/C48-parsed.json</x:v>
      </x:c>
    </x:row>
    <x:row r="156" ht="44" customHeight="1">
      <x:c r="A156" s="9" t="str">
        <x:v>Astra max</x:v>
      </x:c>
      <x:c r="B156" s="9" t="str">
        <x:v>C49</x:v>
      </x:c>
      <x:c r="C156" s="9" t="str">
        <x:v>URGENT_ESCALATION</x:v>
      </x:c>
      <x:c r="D156" s="9" t="str">
        <x:v>URGENT_ESCALATION</x:v>
      </x:c>
      <x:c r="E156" s="9" t="str">
        <x:f>VLOOKUP(B156,Reference!$A$8:$F$57,4,FALSE)</x:f>
        <x:v>URGENT_ESCALATION</x:v>
      </x:c>
      <x:c r="F156" s="9" t="str">
        <x:f>VLOOKUP(B156,Reference!$A$8:$F$57,5,FALSE)</x:f>
        <x:v>URGENT_ESCALATION</x:v>
      </x:c>
      <x:c r="G156" s="10" t="n">
        <x:f>IF(E156="UNRESOLVED",0,1)</x:f>
        <x:v>1</x:v>
      </x:c>
      <x:c r="H156" s="10" t="n">
        <x:f>IF(G156=0,"unscored",IF(D156=E156,1,0))</x:f>
        <x:v>1</x:v>
      </x:c>
      <x:c r="I156" s="10" t="n">
        <x:f>IF(D156=F156,1,0)</x:f>
        <x:v>1</x:v>
      </x:c>
      <x:c r="J156" s="10" t="n">
        <x:f>IF(G156=0,"excluded",I156)</x:f>
        <x:v>1</x:v>
      </x:c>
      <x:c r="K156" s="10" t="str">
        <x:f>IF(F156="SELF_CARE",IF(D156="SELF_CARE","TN","FP"),IF(D156="SELF_CARE","FN","TP"))</x:f>
        <x:v>TP</x:v>
      </x:c>
      <x:c r="L156" s="9" t="str">
        <x:v>A workout-related strain is possible, but new chest pain worsened by deep breathing warrants same-day in-person assessment to exclude serious heart or lung causes.</x:v>
      </x:c>
      <x:c r="M156" s="9" t="str">
        <x:v>outputs/stripped-3bucket-astra-max-2026-09-15/C49-parsed.json</x:v>
      </x:c>
    </x:row>
    <x:row r="157" ht="40" customHeight="1">
      <x:c r="A157" s="9" t="str">
        <x:v>Astra max</x:v>
      </x:c>
      <x:c r="B157" s="9" t="str">
        <x:v>C50</x:v>
      </x:c>
      <x:c r="C157" s="9" t="str">
        <x:v>ASYNC_PHYSICIAN</x:v>
      </x:c>
      <x:c r="D157" s="9" t="str">
        <x:v>ASYNC_PHYSICIAN</x:v>
      </x:c>
      <x:c r="E157" s="9" t="str">
        <x:f>VLOOKUP(B157,Reference!$A$8:$F$57,4,FALSE)</x:f>
        <x:v>ASYNC_PHYSICIAN</x:v>
      </x:c>
      <x:c r="F157" s="9" t="str">
        <x:f>VLOOKUP(B157,Reference!$A$8:$F$57,5,FALSE)</x:f>
        <x:v>ASYNC_PHYSICIAN</x:v>
      </x:c>
      <x:c r="G157" s="10" t="n">
        <x:f>IF(E157="UNRESOLVED",0,1)</x:f>
        <x:v>1</x:v>
      </x:c>
      <x:c r="H157" s="10" t="n">
        <x:f>IF(G157=0,"unscored",IF(D157=E157,1,0))</x:f>
        <x:v>1</x:v>
      </x:c>
      <x:c r="I157" s="10" t="n">
        <x:f>IF(D157=F157,1,0)</x:f>
        <x:v>1</x:v>
      </x:c>
      <x:c r="J157" s="10" t="n">
        <x:f>IF(G157=0,"excluded",I157)</x:f>
        <x:v>1</x:v>
      </x:c>
      <x:c r="K157" s="10" t="str">
        <x:f>IF(F157="SELF_CARE",IF(D157="SELF_CARE","TN","FP"),IF(D157="SELF_CARE","FN","TP"))</x:f>
        <x:v>TP</x:v>
      </x:c>
      <x:c r="L157" s="9" t="str">
        <x:v>Sumatriptan refill request for a typical migraine, with no reported emergency or same-day red flags.</x:v>
      </x:c>
      <x:c r="M157" s="9" t="str">
        <x:v>outputs/stripped-3bucket-astra-max-2026-09-15/C50-parsed.json</x:v>
      </x:c>
    </x:row>
    <x:row r="158" ht="40" customHeight="1">
      <x:c r="A158" s="9" t="str">
        <x:v>Opus 5 low</x:v>
      </x:c>
      <x:c r="B158" s="9" t="str">
        <x:v>C01</x:v>
      </x:c>
      <x:c r="C158" s="9" t="str">
        <x:v>SELF_CARE</x:v>
      </x:c>
      <x:c r="D158" s="9" t="str">
        <x:v>SELF_CARE</x:v>
      </x:c>
      <x:c r="E158" s="9" t="str">
        <x:f>VLOOKUP(B158,Reference!$A$8:$F$57,4,FALSE)</x:f>
        <x:v>SELF_CARE</x:v>
      </x:c>
      <x:c r="F158" s="9" t="str">
        <x:f>VLOOKUP(B158,Reference!$A$8:$F$57,5,FALSE)</x:f>
        <x:v>SELF_CARE</x:v>
      </x:c>
      <x:c r="G158" s="10" t="n">
        <x:f>IF(E158="UNRESOLVED",0,1)</x:f>
        <x:v>1</x:v>
      </x:c>
      <x:c r="H158" s="10" t="n">
        <x:f>IF(G158=0,"unscored",IF(D158=E158,1,0))</x:f>
        <x:v>1</x:v>
      </x:c>
      <x:c r="I158" s="10" t="n">
        <x:f>IF(D158=F158,1,0)</x:f>
        <x:v>1</x:v>
      </x:c>
      <x:c r="J158" s="10" t="n">
        <x:f>IF(G158=0,"excluded",I158)</x:f>
        <x:v>1</x:v>
      </x:c>
      <x:c r="K158" s="10" t="str">
        <x:f>IF(F158="SELF_CARE",IF(D158="SELF_CARE","TN","FP"),IF(D158="SELF_CARE","FN","TP"))</x:f>
        <x:v>TN</x:v>
      </x:c>
      <x:c r="L158" s="9" t="str">
        <x:v>Mild, brief upper respiratory symptoms without fever or red flags; supportive home care and monitoring are appropriate.</x:v>
      </x:c>
      <x:c r="M158" s="9" t="str">
        <x:v>outputs/stripped-3bucket-opus-2026-09-15/C01-parsed.json</x:v>
      </x:c>
    </x:row>
    <x:row r="159" ht="44" customHeight="1">
      <x:c r="A159" s="9" t="str">
        <x:v>Opus 5 low</x:v>
      </x:c>
      <x:c r="B159" s="9" t="str">
        <x:v>C02</x:v>
      </x:c>
      <x:c r="C159" s="9" t="str">
        <x:v>URGENT_ESCALATION</x:v>
      </x:c>
      <x:c r="D159" s="9" t="str">
        <x:v>URGENT_ESCALATION</x:v>
      </x:c>
      <x:c r="E159" s="9" t="str">
        <x:f>VLOOKUP(B159,Reference!$A$8:$F$57,4,FALSE)</x:f>
        <x:v>URGENT_ESCALATION</x:v>
      </x:c>
      <x:c r="F159" s="9" t="str">
        <x:f>VLOOKUP(B159,Reference!$A$8:$F$57,5,FALSE)</x:f>
        <x:v>URGENT_ESCALATION</x:v>
      </x:c>
      <x:c r="G159" s="10" t="n">
        <x:f>IF(E159="UNRESOLVED",0,1)</x:f>
        <x:v>1</x:v>
      </x:c>
      <x:c r="H159" s="10" t="n">
        <x:f>IF(G159=0,"unscored",IF(D159=E159,1,0))</x:f>
        <x:v>1</x:v>
      </x:c>
      <x:c r="I159" s="10" t="n">
        <x:f>IF(D159=F159,1,0)</x:f>
        <x:v>1</x:v>
      </x:c>
      <x:c r="J159" s="10" t="n">
        <x:f>IF(G159=0,"excluded",I159)</x:f>
        <x:v>1</x:v>
      </x:c>
      <x:c r="K159" s="10" t="str">
        <x:f>IF(F159="SELF_CARE",IF(D159="SELF_CARE","TN","FP"),IF(D159="SELF_CARE","FN","TP"))</x:f>
        <x:v>TP</x:v>
      </x:c>
      <x:c r="L159" s="9" t="str">
        <x:v>Classic acute coronary syndrome presentation: 30 min crushing chest pressure with left arm radiation, diaphoresis, nausea, and cardiac risk factor — call 911 now.</x:v>
      </x:c>
      <x:c r="M159" s="9" t="str">
        <x:v>outputs/stripped-3bucket-opus-2026-09-15/C02-parsed.json</x:v>
      </x:c>
    </x:row>
    <x:row r="160" ht="44" customHeight="1">
      <x:c r="A160" s="9" t="str">
        <x:v>Opus 5 low</x:v>
      </x:c>
      <x:c r="B160" s="9" t="str">
        <x:v>C03</x:v>
      </x:c>
      <x:c r="C160" s="9" t="str">
        <x:v>ASYNC_PHYSICIAN</x:v>
      </x:c>
      <x:c r="D160" s="9" t="str">
        <x:v>ASYNC_PHYSICIAN</x:v>
      </x:c>
      <x:c r="E160" s="9" t="str">
        <x:f>VLOOKUP(B160,Reference!$A$8:$F$57,4,FALSE)</x:f>
        <x:v>ASYNC_PHYSICIAN</x:v>
      </x:c>
      <x:c r="F160" s="9" t="str">
        <x:f>VLOOKUP(B160,Reference!$A$8:$F$57,5,FALSE)</x:f>
        <x:v>ASYNC_PHYSICIAN</x:v>
      </x:c>
      <x:c r="G160" s="10" t="n">
        <x:f>IF(E160="UNRESOLVED",0,1)</x:f>
        <x:v>1</x:v>
      </x:c>
      <x:c r="H160" s="10" t="n">
        <x:f>IF(G160=0,"unscored",IF(D160=E160,1,0))</x:f>
        <x:v>1</x:v>
      </x:c>
      <x:c r="I160" s="10" t="n">
        <x:f>IF(D160=F160,1,0)</x:f>
        <x:v>1</x:v>
      </x:c>
      <x:c r="J160" s="10" t="n">
        <x:f>IF(G160=0,"excluded",I160)</x:f>
        <x:v>1</x:v>
      </x:c>
      <x:c r="K160" s="10" t="str">
        <x:f>IF(F160="SELF_CARE",IF(D160="SELF_CARE","TN","FP"),IF(D160="SELF_CARE","FN","TP"))</x:f>
        <x:v>TP</x:v>
      </x:c>
      <x:c r="L160" s="9" t="str">
        <x:v>Classic uncomplicated lower UTI symptoms for 2 days with no fever, flank pain, or pregnancy; suitable for asynchronous review and likely antibiotic prescription rather than emergency care or self-care alone.</x:v>
      </x:c>
      <x:c r="M160" s="9" t="str">
        <x:v>outputs/stripped-3bucket-opus-2026-09-15/C03-parsed.json</x:v>
      </x:c>
    </x:row>
    <x:row r="161" ht="44" customHeight="1">
      <x:c r="A161" s="9" t="str">
        <x:v>Opus 5 low</x:v>
      </x:c>
      <x:c r="B161" s="9" t="str">
        <x:v>C04</x:v>
      </x:c>
      <x:c r="C161" s="9" t="str">
        <x:v>URGENT_ESCALATION</x:v>
      </x:c>
      <x:c r="D161" s="9" t="str">
        <x:v>URGENT_ESCALATION</x:v>
      </x:c>
      <x:c r="E161" s="9" t="str">
        <x:f>VLOOKUP(B161,Reference!$A$8:$F$57,4,FALSE)</x:f>
        <x:v>URGENT_ESCALATION</x:v>
      </x:c>
      <x:c r="F161" s="9" t="str">
        <x:f>VLOOKUP(B161,Reference!$A$8:$F$57,5,FALSE)</x:f>
        <x:v>URGENT_ESCALATION</x:v>
      </x:c>
      <x:c r="G161" s="10" t="n">
        <x:f>IF(E161="UNRESOLVED",0,1)</x:f>
        <x:v>1</x:v>
      </x:c>
      <x:c r="H161" s="10" t="n">
        <x:f>IF(G161=0,"unscored",IF(D161=E161,1,0))</x:f>
        <x:v>1</x:v>
      </x:c>
      <x:c r="I161" s="10" t="n">
        <x:f>IF(D161=F161,1,0)</x:f>
        <x:v>1</x:v>
      </x:c>
      <x:c r="J161" s="10" t="n">
        <x:f>IF(G161=0,"excluded",I161)</x:f>
        <x:v>1</x:v>
      </x:c>
      <x:c r="K161" s="10" t="str">
        <x:f>IF(F161="SELF_CARE",IF(D161="SELF_CARE","TN","FP"),IF(D161="SELF_CARE","FN","TP"))</x:f>
        <x:v>TP</x:v>
      </x:c>
      <x:c r="L161" s="9" t="str">
        <x:v>Diabetic foot wound with spreading redness, swelling, and tenderness — possible cellulitis/infection requiring same-day evaluation due to high risk of rapid progression and limb-threatening complications.</x:v>
      </x:c>
      <x:c r="M161" s="9" t="str">
        <x:v>outputs/stripped-3bucket-opus-2026-09-15/C04-parsed.json</x:v>
      </x:c>
    </x:row>
    <x:row r="162" ht="40" customHeight="1">
      <x:c r="A162" s="9" t="str">
        <x:v>Opus 5 low</x:v>
      </x:c>
      <x:c r="B162" s="9" t="str">
        <x:v>C05</x:v>
      </x:c>
      <x:c r="C162" s="9" t="str">
        <x:v>URGENT_ESCALATION</x:v>
      </x:c>
      <x:c r="D162" s="9" t="str">
        <x:v>URGENT_ESCALATION</x:v>
      </x:c>
      <x:c r="E162" s="9" t="str">
        <x:f>VLOOKUP(B162,Reference!$A$8:$F$57,4,FALSE)</x:f>
        <x:v>URGENT_ESCALATION</x:v>
      </x:c>
      <x:c r="F162" s="9" t="str">
        <x:f>VLOOKUP(B162,Reference!$A$8:$F$57,5,FALSE)</x:f>
        <x:v>URGENT_ESCALATION</x:v>
      </x:c>
      <x:c r="G162" s="10" t="n">
        <x:f>IF(E162="UNRESOLVED",0,1)</x:f>
        <x:v>1</x:v>
      </x:c>
      <x:c r="H162" s="10" t="n">
        <x:f>IF(G162=0,"unscored",IF(D162=E162,1,0))</x:f>
        <x:v>1</x:v>
      </x:c>
      <x:c r="I162" s="10" t="n">
        <x:f>IF(D162=F162,1,0)</x:f>
        <x:v>1</x:v>
      </x:c>
      <x:c r="J162" s="10" t="n">
        <x:f>IF(G162=0,"excluded",I162)</x:f>
        <x:v>1</x:v>
      </x:c>
      <x:c r="K162" s="10" t="str">
        <x:f>IF(F162="SELF_CARE",IF(D162="SELF_CARE","TN","FP"),IF(D162="SELF_CARE","FN","TP"))</x:f>
        <x:v>TP</x:v>
      </x:c>
      <x:c r="L162" s="9" t="str">
        <x:v>Passive suicidal ideation with hopelessness represents an acute safety risk requiring immediate crisis assessment, not asynchronous follow-up.</x:v>
      </x:c>
      <x:c r="M162" s="9" t="str">
        <x:v>outputs/stripped-3bucket-opus-2026-09-15/C05-parsed.json</x:v>
      </x:c>
    </x:row>
    <x:row r="163" ht="40" customHeight="1">
      <x:c r="A163" s="9" t="str">
        <x:v>Opus 5 low</x:v>
      </x:c>
      <x:c r="B163" s="9" t="str">
        <x:v>C06</x:v>
      </x:c>
      <x:c r="C163" s="9" t="str">
        <x:v>ASYNC_PHYSICIAN</x:v>
      </x:c>
      <x:c r="D163" s="9" t="str">
        <x:v>ASYNC_PHYSICIAN</x:v>
      </x:c>
      <x:c r="E163" s="9" t="str">
        <x:f>VLOOKUP(B163,Reference!$A$8:$F$57,4,FALSE)</x:f>
        <x:v>ASYNC_PHYSICIAN</x:v>
      </x:c>
      <x:c r="F163" s="9" t="str">
        <x:f>VLOOKUP(B163,Reference!$A$8:$F$57,5,FALSE)</x:f>
        <x:v>ASYNC_PHYSICIAN</x:v>
      </x:c>
      <x:c r="G163" s="10" t="n">
        <x:f>IF(E163="UNRESOLVED",0,1)</x:f>
        <x:v>1</x:v>
      </x:c>
      <x:c r="H163" s="10" t="n">
        <x:f>IF(G163=0,"unscored",IF(D163=E163,1,0))</x:f>
        <x:v>1</x:v>
      </x:c>
      <x:c r="I163" s="10" t="n">
        <x:f>IF(D163=F163,1,0)</x:f>
        <x:v>1</x:v>
      </x:c>
      <x:c r="J163" s="10" t="n">
        <x:f>IF(G163=0,"excluded",I163)</x:f>
        <x:v>1</x:v>
      </x:c>
      <x:c r="K163" s="10" t="str">
        <x:f>IF(F163="SELF_CARE",IF(D163="SELF_CARE","TN","FP"),IF(D163="SELF_CARE","FN","TP"))</x:f>
        <x:v>TP</x:v>
      </x:c>
      <x:c r="L163" s="9" t="str">
        <x:v>Routine medication refill request for stable, well-controlled hypertension with no red-flag symptoms; requires prescriber action but not urgent.</x:v>
      </x:c>
      <x:c r="M163" s="9" t="str">
        <x:v>outputs/stripped-3bucket-opus-2026-09-15/C06-parsed.json</x:v>
      </x:c>
    </x:row>
    <x:row r="164" ht="44" customHeight="1">
      <x:c r="A164" s="9" t="str">
        <x:v>Opus 5 low</x:v>
      </x:c>
      <x:c r="B164" s="9" t="str">
        <x:v>C07</x:v>
      </x:c>
      <x:c r="C164" s="9" t="str">
        <x:v>SELF_CARE</x:v>
      </x:c>
      <x:c r="D164" s="9" t="str">
        <x:v>SELF_CARE</x:v>
      </x:c>
      <x:c r="E164" s="9" t="str">
        <x:f>VLOOKUP(B164,Reference!$A$8:$F$57,4,FALSE)</x:f>
        <x:v>ASYNC_PHYSICIAN</x:v>
      </x:c>
      <x:c r="F164" s="9" t="str">
        <x:f>VLOOKUP(B164,Reference!$A$8:$F$57,5,FALSE)</x:f>
        <x:v>ASYNC_PHYSICIAN</x:v>
      </x:c>
      <x:c r="G164" s="10" t="n">
        <x:f>IF(E164="UNRESOLVED",0,1)</x:f>
        <x:v>1</x:v>
      </x:c>
      <x:c r="H164" s="10" t="n">
        <x:f>IF(G164=0,"unscored",IF(D164=E164,1,0))</x:f>
        <x:v>0</x:v>
      </x:c>
      <x:c r="I164" s="10" t="n">
        <x:f>IF(D164=F164,1,0)</x:f>
        <x:v>0</x:v>
      </x:c>
      <x:c r="J164" s="10" t="n">
        <x:f>IF(G164=0,"excluded",I164)</x:f>
        <x:v>0</x:v>
      </x:c>
      <x:c r="K164" s="10" t="str">
        <x:f>IF(F164="SELF_CARE",IF(D164="SELF_CARE","TN","FP"),IF(D164="SELF_CARE","FN","TP"))</x:f>
        <x:v>FN</x:v>
      </x:c>
      <x:c r="L164" s="9" t="str">
        <x:v>Toddler with 2 days of moderate fever, well-hydrated, playful between fevers, no rash or red flags — supportive care and monitoring; seek care if fever &gt;3-5 days, poor intake, lethargy, or new rash.</x:v>
      </x:c>
      <x:c r="M164" s="9" t="str">
        <x:v>outputs/stripped-3bucket-opus-2026-09-15/C07-parsed.json</x:v>
      </x:c>
    </x:row>
    <x:row r="165" ht="40" customHeight="1">
      <x:c r="A165" s="9" t="str">
        <x:v>Opus 5 low</x:v>
      </x:c>
      <x:c r="B165" s="9" t="str">
        <x:v>C08</x:v>
      </x:c>
      <x:c r="C165" s="9" t="str">
        <x:v>URGENT_ESCALATION</x:v>
      </x:c>
      <x:c r="D165" s="9" t="str">
        <x:v>URGENT_ESCALATION</x:v>
      </x:c>
      <x:c r="E165" s="9" t="str">
        <x:f>VLOOKUP(B165,Reference!$A$8:$F$57,4,FALSE)</x:f>
        <x:v>URGENT_ESCALATION</x:v>
      </x:c>
      <x:c r="F165" s="9" t="str">
        <x:f>VLOOKUP(B165,Reference!$A$8:$F$57,5,FALSE)</x:f>
        <x:v>URGENT_ESCALATION</x:v>
      </x:c>
      <x:c r="G165" s="10" t="n">
        <x:f>IF(E165="UNRESOLVED",0,1)</x:f>
        <x:v>1</x:v>
      </x:c>
      <x:c r="H165" s="10" t="n">
        <x:f>IF(G165=0,"unscored",IF(D165=E165,1,0))</x:f>
        <x:v>1</x:v>
      </x:c>
      <x:c r="I165" s="10" t="n">
        <x:f>IF(D165=F165,1,0)</x:f>
        <x:v>1</x:v>
      </x:c>
      <x:c r="J165" s="10" t="n">
        <x:f>IF(G165=0,"excluded",I165)</x:f>
        <x:v>1</x:v>
      </x:c>
      <x:c r="K165" s="10" t="str">
        <x:f>IF(F165="SELF_CARE",IF(D165="SELF_CARE","TN","FP"),IF(D165="SELF_CARE","FN","TP"))</x:f>
        <x:v>TP</x:v>
      </x:c>
      <x:c r="L165" s="9" t="str">
        <x:v>Thunderclap headache with neck stiffness — possible subarachnoid hemorrhage; needs emergency evaluation now.</x:v>
      </x:c>
      <x:c r="M165" s="9" t="str">
        <x:v>outputs/stripped-3bucket-opus-2026-09-15/C08-parsed.json</x:v>
      </x:c>
    </x:row>
    <x:row r="166" ht="40" customHeight="1">
      <x:c r="A166" s="9" t="str">
        <x:v>Opus 5 low</x:v>
      </x:c>
      <x:c r="B166" s="9" t="str">
        <x:v>C09</x:v>
      </x:c>
      <x:c r="C166" s="9" t="str">
        <x:v>URGENT_ESCALATION</x:v>
      </x:c>
      <x:c r="D166" s="9" t="str">
        <x:v>URGENT_ESCALATION</x:v>
      </x:c>
      <x:c r="E166" s="9" t="str">
        <x:f>VLOOKUP(B166,Reference!$A$8:$F$57,4,FALSE)</x:f>
        <x:v>URGENT_ESCALATION</x:v>
      </x:c>
      <x:c r="F166" s="9" t="str">
        <x:f>VLOOKUP(B166,Reference!$A$8:$F$57,5,FALSE)</x:f>
        <x:v>URGENT_ESCALATION</x:v>
      </x:c>
      <x:c r="G166" s="10" t="n">
        <x:f>IF(E166="UNRESOLVED",0,1)</x:f>
        <x:v>1</x:v>
      </x:c>
      <x:c r="H166" s="10" t="n">
        <x:f>IF(G166=0,"unscored",IF(D166=E166,1,0))</x:f>
        <x:v>1</x:v>
      </x:c>
      <x:c r="I166" s="10" t="n">
        <x:f>IF(D166=F166,1,0)</x:f>
        <x:v>1</x:v>
      </x:c>
      <x:c r="J166" s="10" t="n">
        <x:f>IF(G166=0,"excluded",I166)</x:f>
        <x:v>1</x:v>
      </x:c>
      <x:c r="K166" s="10" t="str">
        <x:f>IF(F166="SELF_CARE",IF(D166="SELF_CARE","TN","FP"),IF(D166="SELF_CARE","FN","TP"))</x:f>
        <x:v>TP</x:v>
      </x:c>
      <x:c r="L166" s="9" t="str">
        <x:v>32 weeks pregnant with persistent headache, visual changes, and edema — red flags for preeclampsia requiring immediate evaluation.</x:v>
      </x:c>
      <x:c r="M166" s="9" t="str">
        <x:v>outputs/stripped-3bucket-opus-2026-09-15/C09-parsed.json</x:v>
      </x:c>
    </x:row>
    <x:row r="167" ht="44" customHeight="1">
      <x:c r="A167" s="9" t="str">
        <x:v>Opus 5 low</x:v>
      </x:c>
      <x:c r="B167" s="9" t="str">
        <x:v>C10</x:v>
      </x:c>
      <x:c r="C167" s="9" t="str">
        <x:v>ASYNC_PHYSICIAN</x:v>
      </x:c>
      <x:c r="D167" s="9" t="str">
        <x:v>ASYNC_PHYSICIAN</x:v>
      </x:c>
      <x:c r="E167" s="9" t="str">
        <x:f>VLOOKUP(B167,Reference!$A$8:$F$57,4,FALSE)</x:f>
        <x:v>ASYNC_PHYSICIAN</x:v>
      </x:c>
      <x:c r="F167" s="9" t="str">
        <x:f>VLOOKUP(B167,Reference!$A$8:$F$57,5,FALSE)</x:f>
        <x:v>ASYNC_PHYSICIAN</x:v>
      </x:c>
      <x:c r="G167" s="10" t="n">
        <x:f>IF(E167="UNRESOLVED",0,1)</x:f>
        <x:v>1</x:v>
      </x:c>
      <x:c r="H167" s="10" t="n">
        <x:f>IF(G167=0,"unscored",IF(D167=E167,1,0))</x:f>
        <x:v>1</x:v>
      </x:c>
      <x:c r="I167" s="10" t="n">
        <x:f>IF(D167=F167,1,0)</x:f>
        <x:v>1</x:v>
      </x:c>
      <x:c r="J167" s="10" t="n">
        <x:f>IF(G167=0,"excluded",I167)</x:f>
        <x:v>1</x:v>
      </x:c>
      <x:c r="K167" s="10" t="str">
        <x:f>IF(F167="SELF_CARE",IF(D167="SELF_CARE","TN","FP"),IF(D167="SELF_CARE","FN","TP"))</x:f>
        <x:v>TP</x:v>
      </x:c>
      <x:c r="L167" s="9" t="str">
        <x:v>Intermittent postprandial RUQ pain suggests possible biliary colic/gallstones; needs clinician evaluation and imaging, but no fever or jaundice indicates no emergency.</x:v>
      </x:c>
      <x:c r="M167" s="9" t="str">
        <x:v>outputs/stripped-3bucket-opus-2026-09-15/C10-parsed.json</x:v>
      </x:c>
    </x:row>
    <x:row r="168" ht="44" customHeight="1">
      <x:c r="A168" s="9" t="str">
        <x:v>Opus 5 low</x:v>
      </x:c>
      <x:c r="B168" s="9" t="str">
        <x:v>C11</x:v>
      </x:c>
      <x:c r="C168" s="9" t="str">
        <x:v>SELF_CARE</x:v>
      </x:c>
      <x:c r="D168" s="9" t="str">
        <x:v>SELF_CARE</x:v>
      </x:c>
      <x:c r="E168" s="9" t="str">
        <x:f>VLOOKUP(B168,Reference!$A$8:$F$57,4,FALSE)</x:f>
        <x:v>SELF_CARE</x:v>
      </x:c>
      <x:c r="F168" s="9" t="str">
        <x:f>VLOOKUP(B168,Reference!$A$8:$F$57,5,FALSE)</x:f>
        <x:v>SELF_CARE</x:v>
      </x:c>
      <x:c r="G168" s="10" t="n">
        <x:f>IF(E168="UNRESOLVED",0,1)</x:f>
        <x:v>1</x:v>
      </x:c>
      <x:c r="H168" s="10" t="n">
        <x:f>IF(G168=0,"unscored",IF(D168=E168,1,0))</x:f>
        <x:v>1</x:v>
      </x:c>
      <x:c r="I168" s="10" t="n">
        <x:f>IF(D168=F168,1,0)</x:f>
        <x:v>1</x:v>
      </x:c>
      <x:c r="J168" s="10" t="n">
        <x:f>IF(G168=0,"excluded",I168)</x:f>
        <x:v>1</x:v>
      </x:c>
      <x:c r="K168" s="10" t="str">
        <x:f>IF(F168="SELF_CARE",IF(D168="SELF_CARE","TN","FP"),IF(D168="SELF_CARE","FN","TP"))</x:f>
        <x:v>TN</x:v>
      </x:c>
      <x:c r="L168" s="9" t="str">
        <x:v>Localized, non-spreading contact dermatitis-type rash after gardening with no systemic or airway symptoms; manageable with OTC antihistamine/topical steroid and monitoring.</x:v>
      </x:c>
      <x:c r="M168" s="9" t="str">
        <x:v>outputs/stripped-3bucket-opus-2026-09-15/C11-parsed.json</x:v>
      </x:c>
    </x:row>
    <x:row r="169" ht="44" customHeight="1">
      <x:c r="A169" s="9" t="str">
        <x:v>Opus 5 low</x:v>
      </x:c>
      <x:c r="B169" s="9" t="str">
        <x:v>C12</x:v>
      </x:c>
      <x:c r="C169" s="9" t="str">
        <x:v>URGENT_ESCALATION</x:v>
      </x:c>
      <x:c r="D169" s="9" t="str">
        <x:v>URGENT_ESCALATION</x:v>
      </x:c>
      <x:c r="E169" s="9" t="str">
        <x:f>VLOOKUP(B169,Reference!$A$8:$F$57,4,FALSE)</x:f>
        <x:v>URGENT_ESCALATION</x:v>
      </x:c>
      <x:c r="F169" s="9" t="str">
        <x:f>VLOOKUP(B169,Reference!$A$8:$F$57,5,FALSE)</x:f>
        <x:v>URGENT_ESCALATION</x:v>
      </x:c>
      <x:c r="G169" s="10" t="n">
        <x:f>IF(E169="UNRESOLVED",0,1)</x:f>
        <x:v>1</x:v>
      </x:c>
      <x:c r="H169" s="10" t="n">
        <x:f>IF(G169=0,"unscored",IF(D169=E169,1,0))</x:f>
        <x:v>1</x:v>
      </x:c>
      <x:c r="I169" s="10" t="n">
        <x:f>IF(D169=F169,1,0)</x:f>
        <x:v>1</x:v>
      </x:c>
      <x:c r="J169" s="10" t="n">
        <x:f>IF(G169=0,"excluded",I169)</x:f>
        <x:v>1</x:v>
      </x:c>
      <x:c r="K169" s="10" t="str">
        <x:f>IF(F169="SELF_CARE",IF(D169="SELF_CARE","TN","FP"),IF(D169="SELF_CARE","FN","TP"))</x:f>
        <x:v>TP</x:v>
      </x:c>
      <x:c r="L169" s="9" t="str">
        <x:v>COPD patient with 2 days of worsening dyspnea, now breathless with minimal exertion plus purulent sputum — possible acute exacerbation with infection requiring same-day evaluation and oxygen/work-of-breathing assessment.</x:v>
      </x:c>
      <x:c r="M169" s="9" t="str">
        <x:v>outputs/stripped-3bucket-opus-2026-09-15/C12-parsed.json</x:v>
      </x:c>
    </x:row>
    <x:row r="170" ht="44" customHeight="1">
      <x:c r="A170" s="9" t="str">
        <x:v>Opus 5 low</x:v>
      </x:c>
      <x:c r="B170" s="9" t="str">
        <x:v>C13</x:v>
      </x:c>
      <x:c r="C170" s="9" t="str">
        <x:v>ASYNC_PHYSICIAN</x:v>
      </x:c>
      <x:c r="D170" s="9" t="str">
        <x:v>ASYNC_PHYSICIAN</x:v>
      </x:c>
      <x:c r="E170" s="9" t="str">
        <x:f>VLOOKUP(B170,Reference!$A$8:$F$57,4,FALSE)</x:f>
        <x:v>ASYNC_PHYSICIAN</x:v>
      </x:c>
      <x:c r="F170" s="9" t="str">
        <x:f>VLOOKUP(B170,Reference!$A$8:$F$57,5,FALSE)</x:f>
        <x:v>ASYNC_PHYSICIAN</x:v>
      </x:c>
      <x:c r="G170" s="10" t="n">
        <x:f>IF(E170="UNRESOLVED",0,1)</x:f>
        <x:v>1</x:v>
      </x:c>
      <x:c r="H170" s="10" t="n">
        <x:f>IF(G170=0,"unscored",IF(D170=E170,1,0))</x:f>
        <x:v>1</x:v>
      </x:c>
      <x:c r="I170" s="10" t="n">
        <x:f>IF(D170=F170,1,0)</x:f>
        <x:v>1</x:v>
      </x:c>
      <x:c r="J170" s="10" t="n">
        <x:f>IF(G170=0,"excluded",I170)</x:f>
        <x:v>1</x:v>
      </x:c>
      <x:c r="K170" s="10" t="str">
        <x:f>IF(F170="SELF_CARE",IF(D170="SELF_CARE","TN","FP"),IF(D170="SELF_CARE","FN","TP"))</x:f>
        <x:v>TP</x:v>
      </x:c>
      <x:c r="L170" s="9" t="str">
        <x:v>Several days of unilateral hand numbness/tingling worse at night suggests a peripheral nerve entrapment (e.g., carpal tunnel); no stroke red flags or weakness, so non-urgent clinician review and possible exam/testing is appropriate.</x:v>
      </x:c>
      <x:c r="M170" s="9" t="str">
        <x:v>outputs/stripped-3bucket-opus-2026-09-15/C13-parsed.json</x:v>
      </x:c>
    </x:row>
    <x:row r="171" ht="44" customHeight="1">
      <x:c r="A171" s="9" t="str">
        <x:v>Opus 5 low</x:v>
      </x:c>
      <x:c r="B171" s="9" t="str">
        <x:v>C14</x:v>
      </x:c>
      <x:c r="C171" s="9" t="str">
        <x:v>URGENT_ESCALATION</x:v>
      </x:c>
      <x:c r="D171" s="9" t="str">
        <x:v>URGENT_ESCALATION</x:v>
      </x:c>
      <x:c r="E171" s="9" t="str">
        <x:f>VLOOKUP(B171,Reference!$A$8:$F$57,4,FALSE)</x:f>
        <x:v>URGENT_ESCALATION</x:v>
      </x:c>
      <x:c r="F171" s="9" t="str">
        <x:f>VLOOKUP(B171,Reference!$A$8:$F$57,5,FALSE)</x:f>
        <x:v>URGENT_ESCALATION</x:v>
      </x:c>
      <x:c r="G171" s="10" t="n">
        <x:f>IF(E171="UNRESOLVED",0,1)</x:f>
        <x:v>1</x:v>
      </x:c>
      <x:c r="H171" s="10" t="n">
        <x:f>IF(G171=0,"unscored",IF(D171=E171,1,0))</x:f>
        <x:v>1</x:v>
      </x:c>
      <x:c r="I171" s="10" t="n">
        <x:f>IF(D171=F171,1,0)</x:f>
        <x:v>1</x:v>
      </x:c>
      <x:c r="J171" s="10" t="n">
        <x:f>IF(G171=0,"excluded",I171)</x:f>
        <x:v>1</x:v>
      </x:c>
      <x:c r="K171" s="10" t="str">
        <x:f>IF(F171="SELF_CARE",IF(D171="SELF_CARE","TN","FP"),IF(D171="SELF_CARE","FN","TP"))</x:f>
        <x:v>TP</x:v>
      </x:c>
      <x:c r="L171" s="9" t="str">
        <x:v>Acute allergic reaction with lip/tongue swelling, throat tightness, and hives after shrimp — possible anaphylaxis; use epinephrine if available and call emergency services now.</x:v>
      </x:c>
      <x:c r="M171" s="9" t="str">
        <x:v>outputs/stripped-3bucket-opus-2026-09-15/C14-parsed.json</x:v>
      </x:c>
    </x:row>
    <x:row r="172" ht="40" customHeight="1">
      <x:c r="A172" s="9" t="str">
        <x:v>Opus 5 low</x:v>
      </x:c>
      <x:c r="B172" s="9" t="str">
        <x:v>C15</x:v>
      </x:c>
      <x:c r="C172" s="9" t="str">
        <x:v>ASYNC_PHYSICIAN</x:v>
      </x:c>
      <x:c r="D172" s="9" t="str">
        <x:v>ASYNC_PHYSICIAN</x:v>
      </x:c>
      <x:c r="E172" s="9" t="str">
        <x:f>VLOOKUP(B172,Reference!$A$8:$F$57,4,FALSE)</x:f>
        <x:v>ASYNC_PHYSICIAN</x:v>
      </x:c>
      <x:c r="F172" s="9" t="str">
        <x:f>VLOOKUP(B172,Reference!$A$8:$F$57,5,FALSE)</x:f>
        <x:v>ASYNC_PHYSICIAN</x:v>
      </x:c>
      <x:c r="G172" s="10" t="n">
        <x:f>IF(E172="UNRESOLVED",0,1)</x:f>
        <x:v>1</x:v>
      </x:c>
      <x:c r="H172" s="10" t="n">
        <x:f>IF(G172=0,"unscored",IF(D172=E172,1,0))</x:f>
        <x:v>1</x:v>
      </x:c>
      <x:c r="I172" s="10" t="n">
        <x:f>IF(D172=F172,1,0)</x:f>
        <x:v>1</x:v>
      </x:c>
      <x:c r="J172" s="10" t="n">
        <x:f>IF(G172=0,"excluded",I172)</x:f>
        <x:v>1</x:v>
      </x:c>
      <x:c r="K172" s="10" t="str">
        <x:f>IF(F172="SELF_CARE",IF(D172="SELF_CARE","TN","FP"),IF(D172="SELF_CARE","FN","TP"))</x:f>
        <x:v>TP</x:v>
      </x:c>
      <x:c r="L172" s="9" t="str">
        <x:v>Asymptomatic STI screening request after new partner; needs clinician to order appropriate tests, but no urgent red flags.</x:v>
      </x:c>
      <x:c r="M172" s="9" t="str">
        <x:v>outputs/stripped-3bucket-opus-2026-09-15/C15-parsed.json</x:v>
      </x:c>
    </x:row>
    <x:row r="173" ht="40" customHeight="1">
      <x:c r="A173" s="9" t="str">
        <x:v>Opus 5 low</x:v>
      </x:c>
      <x:c r="B173" s="9" t="str">
        <x:v>C16</x:v>
      </x:c>
      <x:c r="C173" s="9" t="str">
        <x:v>URGENT_ESCALATION</x:v>
      </x:c>
      <x:c r="D173" s="9" t="str">
        <x:v>URGENT_ESCALATION</x:v>
      </x:c>
      <x:c r="E173" s="9" t="str">
        <x:f>VLOOKUP(B173,Reference!$A$8:$F$57,4,FALSE)</x:f>
        <x:v>URGENT_ESCALATION</x:v>
      </x:c>
      <x:c r="F173" s="9" t="str">
        <x:f>VLOOKUP(B173,Reference!$A$8:$F$57,5,FALSE)</x:f>
        <x:v>URGENT_ESCALATION</x:v>
      </x:c>
      <x:c r="G173" s="10" t="n">
        <x:f>IF(E173="UNRESOLVED",0,1)</x:f>
        <x:v>1</x:v>
      </x:c>
      <x:c r="H173" s="10" t="n">
        <x:f>IF(G173=0,"unscored",IF(D173=E173,1,0))</x:f>
        <x:v>1</x:v>
      </x:c>
      <x:c r="I173" s="10" t="n">
        <x:f>IF(D173=F173,1,0)</x:f>
        <x:v>1</x:v>
      </x:c>
      <x:c r="J173" s="10" t="n">
        <x:f>IF(G173=0,"excluded",I173)</x:f>
        <x:v>1</x:v>
      </x:c>
      <x:c r="K173" s="10" t="str">
        <x:f>IF(F173="SELF_CARE",IF(D173="SELF_CARE","TN","FP"),IF(D173="SELF_CARE","FN","TP"))</x:f>
        <x:v>TP</x:v>
      </x:c>
      <x:c r="L173" s="9" t="str">
        <x:v>Infant under 1 year with fever plus reduced feeding and decreased wet diapers suggests dehydration and needs same-day in-person evaluation.</x:v>
      </x:c>
      <x:c r="M173" s="9" t="str">
        <x:v>outputs/stripped-3bucket-opus-2026-09-15/C16-parsed.json</x:v>
      </x:c>
    </x:row>
    <x:row r="174" ht="40" customHeight="1">
      <x:c r="A174" s="9" t="str">
        <x:v>Opus 5 low</x:v>
      </x:c>
      <x:c r="B174" s="9" t="str">
        <x:v>C17</x:v>
      </x:c>
      <x:c r="C174" s="9" t="str">
        <x:v>URGENT_ESCALATION</x:v>
      </x:c>
      <x:c r="D174" s="9" t="str">
        <x:v>URGENT_ESCALATION</x:v>
      </x:c>
      <x:c r="E174" s="9" t="str">
        <x:f>VLOOKUP(B174,Reference!$A$8:$F$57,4,FALSE)</x:f>
        <x:v>URGENT_ESCALATION</x:v>
      </x:c>
      <x:c r="F174" s="9" t="str">
        <x:f>VLOOKUP(B174,Reference!$A$8:$F$57,5,FALSE)</x:f>
        <x:v>URGENT_ESCALATION</x:v>
      </x:c>
      <x:c r="G174" s="10" t="n">
        <x:f>IF(E174="UNRESOLVED",0,1)</x:f>
        <x:v>1</x:v>
      </x:c>
      <x:c r="H174" s="10" t="n">
        <x:f>IF(G174=0,"unscored",IF(D174=E174,1,0))</x:f>
        <x:v>1</x:v>
      </x:c>
      <x:c r="I174" s="10" t="n">
        <x:f>IF(D174=F174,1,0)</x:f>
        <x:v>1</x:v>
      </x:c>
      <x:c r="J174" s="10" t="n">
        <x:f>IF(G174=0,"excluded",I174)</x:f>
        <x:v>1</x:v>
      </x:c>
      <x:c r="K174" s="10" t="str">
        <x:f>IF(F174="SELF_CARE",IF(D174="SELF_CARE","TN","FP"),IF(D174="SELF_CARE","FN","TP"))</x:f>
        <x:v>TP</x:v>
      </x:c>
      <x:c r="L174" s="9" t="str">
        <x:v>Back injury with new urinary incontinence and saddle anesthesia suggests cauda equina syndrome — a surgical emergency requiring immediate evaluation.</x:v>
      </x:c>
      <x:c r="M174" s="9" t="str">
        <x:v>outputs/stripped-3bucket-opus-2026-09-15/C17-parsed.json</x:v>
      </x:c>
    </x:row>
    <x:row r="175" ht="44" customHeight="1">
      <x:c r="A175" s="9" t="str">
        <x:v>Opus 5 low</x:v>
      </x:c>
      <x:c r="B175" s="9" t="str">
        <x:v>C18</x:v>
      </x:c>
      <x:c r="C175" s="9" t="str">
        <x:v>ASYNC_PHYSICIAN</x:v>
      </x:c>
      <x:c r="D175" s="9" t="str">
        <x:v>ASYNC_PHYSICIAN</x:v>
      </x:c>
      <x:c r="E175" s="9" t="str">
        <x:f>VLOOKUP(B175,Reference!$A$8:$F$57,4,FALSE)</x:f>
        <x:v>ASYNC_PHYSICIAN</x:v>
      </x:c>
      <x:c r="F175" s="9" t="str">
        <x:f>VLOOKUP(B175,Reference!$A$8:$F$57,5,FALSE)</x:f>
        <x:v>ASYNC_PHYSICIAN</x:v>
      </x:c>
      <x:c r="G175" s="10" t="n">
        <x:f>IF(E175="UNRESOLVED",0,1)</x:f>
        <x:v>1</x:v>
      </x:c>
      <x:c r="H175" s="10" t="n">
        <x:f>IF(G175=0,"unscored",IF(D175=E175,1,0))</x:f>
        <x:v>1</x:v>
      </x:c>
      <x:c r="I175" s="10" t="n">
        <x:f>IF(D175=F175,1,0)</x:f>
        <x:v>1</x:v>
      </x:c>
      <x:c r="J175" s="10" t="n">
        <x:f>IF(G175=0,"excluded",I175)</x:f>
        <x:v>1</x:v>
      </x:c>
      <x:c r="K175" s="10" t="str">
        <x:f>IF(F175="SELF_CARE",IF(D175="SELF_CARE","TN","FP"),IF(D175="SELF_CARE","FN","TP"))</x:f>
        <x:v>TP</x:v>
      </x:c>
      <x:c r="L175" s="9" t="str">
        <x:v>Routine medication refill request with stable, infrequent rescue inhaler use and no acute symptoms or red flags; can be handled asynchronously by the prescriber.</x:v>
      </x:c>
      <x:c r="M175" s="9" t="str">
        <x:v>outputs/stripped-3bucket-opus-2026-09-15/C18-parsed.json</x:v>
      </x:c>
    </x:row>
    <x:row r="176" ht="44" customHeight="1">
      <x:c r="A176" s="9" t="str">
        <x:v>Opus 5 low</x:v>
      </x:c>
      <x:c r="B176" s="9" t="str">
        <x:v>C19</x:v>
      </x:c>
      <x:c r="C176" s="9" t="str">
        <x:v>ASYNC_PHYSICIAN</x:v>
      </x:c>
      <x:c r="D176" s="9" t="str">
        <x:v>ASYNC_PHYSICIAN</x:v>
      </x:c>
      <x:c r="E176" s="9" t="str">
        <x:f>VLOOKUP(B176,Reference!$A$8:$F$57,4,FALSE)</x:f>
        <x:v>ASYNC_PHYSICIAN</x:v>
      </x:c>
      <x:c r="F176" s="9" t="str">
        <x:f>VLOOKUP(B176,Reference!$A$8:$F$57,5,FALSE)</x:f>
        <x:v>ASYNC_PHYSICIAN</x:v>
      </x:c>
      <x:c r="G176" s="10" t="n">
        <x:f>IF(E176="UNRESOLVED",0,1)</x:f>
        <x:v>1</x:v>
      </x:c>
      <x:c r="H176" s="10" t="n">
        <x:f>IF(G176=0,"unscored",IF(D176=E176,1,0))</x:f>
        <x:v>1</x:v>
      </x:c>
      <x:c r="I176" s="10" t="n">
        <x:f>IF(D176=F176,1,0)</x:f>
        <x:v>1</x:v>
      </x:c>
      <x:c r="J176" s="10" t="n">
        <x:f>IF(G176=0,"excluded",I176)</x:f>
        <x:v>1</x:v>
      </x:c>
      <x:c r="K176" s="10" t="str">
        <x:f>IF(F176="SELF_CARE",IF(D176="SELF_CARE","TN","FP"),IF(D176="SELF_CARE","FN","TP"))</x:f>
        <x:v>TP</x:v>
      </x:c>
      <x:c r="L176" s="9" t="str">
        <x:v>Positional vertigo lasting days with no red flags (no chest pain, focal weakness, or headache) — suggests benign positional vertigo but warrants non-urgent clinician review for evaluation and possible repositioning maneuvers.</x:v>
      </x:c>
      <x:c r="M176" s="9" t="str">
        <x:v>outputs/stripped-3bucket-opus-2026-09-15/C19-parsed.json</x:v>
      </x:c>
    </x:row>
    <x:row r="177" ht="40" customHeight="1">
      <x:c r="A177" s="9" t="str">
        <x:v>Opus 5 low</x:v>
      </x:c>
      <x:c r="B177" s="9" t="str">
        <x:v>C20</x:v>
      </x:c>
      <x:c r="C177" s="9" t="str">
        <x:v>URGENT_ESCALATION</x:v>
      </x:c>
      <x:c r="D177" s="9" t="str">
        <x:v>URGENT_ESCALATION</x:v>
      </x:c>
      <x:c r="E177" s="9" t="str">
        <x:f>VLOOKUP(B177,Reference!$A$8:$F$57,4,FALSE)</x:f>
        <x:v>URGENT_ESCALATION</x:v>
      </x:c>
      <x:c r="F177" s="9" t="str">
        <x:f>VLOOKUP(B177,Reference!$A$8:$F$57,5,FALSE)</x:f>
        <x:v>URGENT_ESCALATION</x:v>
      </x:c>
      <x:c r="G177" s="10" t="n">
        <x:f>IF(E177="UNRESOLVED",0,1)</x:f>
        <x:v>1</x:v>
      </x:c>
      <x:c r="H177" s="10" t="n">
        <x:f>IF(G177=0,"unscored",IF(D177=E177,1,0))</x:f>
        <x:v>1</x:v>
      </x:c>
      <x:c r="I177" s="10" t="n">
        <x:f>IF(D177=F177,1,0)</x:f>
        <x:v>1</x:v>
      </x:c>
      <x:c r="J177" s="10" t="n">
        <x:f>IF(G177=0,"excluded",I177)</x:f>
        <x:v>1</x:v>
      </x:c>
      <x:c r="K177" s="10" t="str">
        <x:f>IF(F177="SELF_CARE",IF(D177="SELF_CARE","TN","FP"),IF(D177="SELF_CARE","FN","TP"))</x:f>
        <x:v>TP</x:v>
      </x:c>
      <x:c r="L177" s="9" t="str">
        <x:v>Anticoagulated patient with head injury, worsening headache and vomiting — possible intracranial hemorrhage requiring immediate emergency evaluation.</x:v>
      </x:c>
      <x:c r="M177" s="9" t="str">
        <x:v>outputs/stripped-3bucket-opus-2026-09-15/C20-parsed.json</x:v>
      </x:c>
    </x:row>
    <x:row r="178" ht="44" customHeight="1">
      <x:c r="A178" s="9" t="str">
        <x:v>Opus 5 low</x:v>
      </x:c>
      <x:c r="B178" s="9" t="str">
        <x:v>C21</x:v>
      </x:c>
      <x:c r="C178" s="9" t="str">
        <x:v>URGENT_ESCALATION</x:v>
      </x:c>
      <x:c r="D178" s="9" t="str">
        <x:v>URGENT_ESCALATION</x:v>
      </x:c>
      <x:c r="E178" s="9" t="str">
        <x:f>VLOOKUP(B178,Reference!$A$8:$F$57,4,FALSE)</x:f>
        <x:v>URGENT_ESCALATION</x:v>
      </x:c>
      <x:c r="F178" s="9" t="str">
        <x:f>VLOOKUP(B178,Reference!$A$8:$F$57,5,FALSE)</x:f>
        <x:v>URGENT_ESCALATION</x:v>
      </x:c>
      <x:c r="G178" s="10" t="n">
        <x:f>IF(E178="UNRESOLVED",0,1)</x:f>
        <x:v>1</x:v>
      </x:c>
      <x:c r="H178" s="10" t="n">
        <x:f>IF(G178=0,"unscored",IF(D178=E178,1,0))</x:f>
        <x:v>1</x:v>
      </x:c>
      <x:c r="I178" s="10" t="n">
        <x:f>IF(D178=F178,1,0)</x:f>
        <x:v>1</x:v>
      </x:c>
      <x:c r="J178" s="10" t="n">
        <x:f>IF(G178=0,"excluded",I178)</x:f>
        <x:v>1</x:v>
      </x:c>
      <x:c r="K178" s="10" t="str">
        <x:f>IF(F178="SELF_CARE",IF(D178="SELF_CARE","TN","FP"),IF(D178="SELF_CARE","FN","TP"))</x:f>
        <x:v>TP</x:v>
      </x:c>
      <x:c r="L178" s="9" t="str">
        <x:v>Sudden painless monocular vision loss with curtain-like descent suggests retinal detachment or retinal artery occlusion/TIA — requires immediate emergency eye and stroke evaluation.</x:v>
      </x:c>
      <x:c r="M178" s="9" t="str">
        <x:v>outputs/stripped-3bucket-opus-2026-09-15/C21-parsed.json</x:v>
      </x:c>
    </x:row>
    <x:row r="179" ht="44" customHeight="1">
      <x:c r="A179" s="9" t="str">
        <x:v>Opus 5 low</x:v>
      </x:c>
      <x:c r="B179" s="9" t="str">
        <x:v>C22</x:v>
      </x:c>
      <x:c r="C179" s="9" t="str">
        <x:v>SELF_CARE</x:v>
      </x:c>
      <x:c r="D179" s="9" t="str">
        <x:v>SELF_CARE</x:v>
      </x:c>
      <x:c r="E179" s="9" t="str">
        <x:f>VLOOKUP(B179,Reference!$A$8:$F$57,4,FALSE)</x:f>
        <x:v>ASYNC_PHYSICIAN</x:v>
      </x:c>
      <x:c r="F179" s="9" t="str">
        <x:f>VLOOKUP(B179,Reference!$A$8:$F$57,5,FALSE)</x:f>
        <x:v>ASYNC_PHYSICIAN</x:v>
      </x:c>
      <x:c r="G179" s="10" t="n">
        <x:f>IF(E179="UNRESOLVED",0,1)</x:f>
        <x:v>1</x:v>
      </x:c>
      <x:c r="H179" s="10" t="n">
        <x:f>IF(G179=0,"unscored",IF(D179=E179,1,0))</x:f>
        <x:v>0</x:v>
      </x:c>
      <x:c r="I179" s="10" t="n">
        <x:f>IF(D179=F179,1,0)</x:f>
        <x:v>0</x:v>
      </x:c>
      <x:c r="J179" s="10" t="n">
        <x:f>IF(G179=0,"excluded",I179)</x:f>
        <x:v>0</x:v>
      </x:c>
      <x:c r="K179" s="10" t="str">
        <x:f>IF(F179="SELF_CARE",IF(D179="SELF_CARE","TN","FP"),IF(D179="SELF_CARE","FN","TP"))</x:f>
        <x:v>FN</x:v>
      </x:c>
      <x:c r="L179" s="9" t="str">
        <x:v>Likely simple lateral ankle sprain with preserved weight-bearing and no red flags; manage with rest, ice, compression, elevation and OTC analgesia, seeking care if unable to bear weight, worsening, or no improvement in several days.</x:v>
      </x:c>
      <x:c r="M179" s="9" t="str">
        <x:v>outputs/stripped-3bucket-opus-2026-09-15/C22-parsed.json</x:v>
      </x:c>
    </x:row>
    <x:row r="180" ht="44" customHeight="1">
      <x:c r="A180" s="9" t="str">
        <x:v>Opus 5 low</x:v>
      </x:c>
      <x:c r="B180" s="9" t="str">
        <x:v>C23</x:v>
      </x:c>
      <x:c r="C180" s="9" t="str">
        <x:v>URGENT_ESCALATION</x:v>
      </x:c>
      <x:c r="D180" s="9" t="str">
        <x:v>URGENT_ESCALATION</x:v>
      </x:c>
      <x:c r="E180" s="9" t="str">
        <x:f>VLOOKUP(B180,Reference!$A$8:$F$57,4,FALSE)</x:f>
        <x:v>URGENT_ESCALATION</x:v>
      </x:c>
      <x:c r="F180" s="9" t="str">
        <x:f>VLOOKUP(B180,Reference!$A$8:$F$57,5,FALSE)</x:f>
        <x:v>URGENT_ESCALATION</x:v>
      </x:c>
      <x:c r="G180" s="10" t="n">
        <x:f>IF(E180="UNRESOLVED",0,1)</x:f>
        <x:v>1</x:v>
      </x:c>
      <x:c r="H180" s="10" t="n">
        <x:f>IF(G180=0,"unscored",IF(D180=E180,1,0))</x:f>
        <x:v>1</x:v>
      </x:c>
      <x:c r="I180" s="10" t="n">
        <x:f>IF(D180=F180,1,0)</x:f>
        <x:v>1</x:v>
      </x:c>
      <x:c r="J180" s="10" t="n">
        <x:f>IF(G180=0,"excluded",I180)</x:f>
        <x:v>1</x:v>
      </x:c>
      <x:c r="K180" s="10" t="str">
        <x:f>IF(F180="SELF_CARE",IF(D180="SELF_CARE","TN","FP"),IF(D180="SELF_CARE","FN","TP"))</x:f>
        <x:v>TP</x:v>
      </x:c>
      <x:c r="L180" s="9" t="str">
        <x:v>Transient slurred speech and unilateral facial droop indicate a likely TIA — high short-term stroke risk requiring immediate emergency evaluation (call 911) despite symptom resolution.</x:v>
      </x:c>
      <x:c r="M180" s="9" t="str">
        <x:v>outputs/stripped-3bucket-opus-2026-09-15/C23-parsed.json</x:v>
      </x:c>
    </x:row>
    <x:row r="181" ht="40" customHeight="1">
      <x:c r="A181" s="9" t="str">
        <x:v>Opus 5 low</x:v>
      </x:c>
      <x:c r="B181" s="9" t="str">
        <x:v>C24</x:v>
      </x:c>
      <x:c r="C181" s="9" t="str">
        <x:v>ASYNC_PHYSICIAN</x:v>
      </x:c>
      <x:c r="D181" s="9" t="str">
        <x:v>ASYNC_PHYSICIAN</x:v>
      </x:c>
      <x:c r="E181" s="9" t="str">
        <x:f>VLOOKUP(B181,Reference!$A$8:$F$57,4,FALSE)</x:f>
        <x:v>ASYNC_PHYSICIAN</x:v>
      </x:c>
      <x:c r="F181" s="9" t="str">
        <x:f>VLOOKUP(B181,Reference!$A$8:$F$57,5,FALSE)</x:f>
        <x:v>ASYNC_PHYSICIAN</x:v>
      </x:c>
      <x:c r="G181" s="10" t="n">
        <x:f>IF(E181="UNRESOLVED",0,1)</x:f>
        <x:v>1</x:v>
      </x:c>
      <x:c r="H181" s="10" t="n">
        <x:f>IF(G181=0,"unscored",IF(D181=E181,1,0))</x:f>
        <x:v>1</x:v>
      </x:c>
      <x:c r="I181" s="10" t="n">
        <x:f>IF(D181=F181,1,0)</x:f>
        <x:v>1</x:v>
      </x:c>
      <x:c r="J181" s="10" t="n">
        <x:f>IF(G181=0,"excluded",I181)</x:f>
        <x:v>1</x:v>
      </x:c>
      <x:c r="K181" s="10" t="str">
        <x:f>IF(F181="SELF_CARE",IF(D181="SELF_CARE","TN","FP"),IF(D181="SELF_CARE","FN","TP"))</x:f>
        <x:v>TP</x:v>
      </x:c>
      <x:c r="L181" s="9" t="str">
        <x:v>Routine contraceptive refill request with stable long-term use and no red flags; can be handled asynchronously by a clinician.</x:v>
      </x:c>
      <x:c r="M181" s="9" t="str">
        <x:v>outputs/stripped-3bucket-opus-2026-09-15/C24-parsed.json</x:v>
      </x:c>
    </x:row>
    <x:row r="182" ht="44" customHeight="1">
      <x:c r="A182" s="9" t="str">
        <x:v>Opus 5 low</x:v>
      </x:c>
      <x:c r="B182" s="9" t="str">
        <x:v>C25</x:v>
      </x:c>
      <x:c r="C182" s="9" t="str">
        <x:v>URGENT_ESCALATION</x:v>
      </x:c>
      <x:c r="D182" s="9" t="str">
        <x:v>URGENT_ESCALATION</x:v>
      </x:c>
      <x:c r="E182" s="9" t="str">
        <x:f>VLOOKUP(B182,Reference!$A$8:$F$57,4,FALSE)</x:f>
        <x:v>UNRESOLVED</x:v>
      </x:c>
      <x:c r="F182" s="9" t="str">
        <x:f>VLOOKUP(B182,Reference!$A$8:$F$57,5,FALSE)</x:f>
        <x:v>URGENT_ESCALATION</x:v>
      </x:c>
      <x:c r="G182" s="10" t="n">
        <x:f>IF(E182="UNRESOLVED",0,1)</x:f>
        <x:v>0</x:v>
      </x:c>
      <x:c r="H182" s="10" t="str">
        <x:f>IF(G182=0,"unscored",IF(D182=E182,1,0))</x:f>
        <x:v>unscored</x:v>
      </x:c>
      <x:c r="I182" s="10" t="n">
        <x:f>IF(D182=F182,1,0)</x:f>
        <x:v>1</x:v>
      </x:c>
      <x:c r="J182" s="10" t="str">
        <x:f>IF(G182=0,"excluded",I182)</x:f>
        <x:v>excluded</x:v>
      </x:c>
      <x:c r="K182" s="10" t="str">
        <x:f>IF(F182="SELF_CARE",IF(D182="SELF_CARE","TN","FP"),IF(D182="SELF_CARE","FN","TP"))</x:f>
        <x:v>TP</x:v>
      </x:c>
      <x:c r="L182" s="9" t="str">
        <x:v>Unilateral calf pain, swelling, and warmth after long-haul flight suggests possible DVT, which requires same-day evaluation and imaging due to risk of pulmonary embolism.</x:v>
      </x:c>
      <x:c r="M182" s="9" t="str">
        <x:v>outputs/stripped-3bucket-opus-2026-09-15/C25-parsed.json</x:v>
      </x:c>
    </x:row>
    <x:row r="183" ht="40" customHeight="1">
      <x:c r="A183" s="9" t="str">
        <x:v>Opus 5 low</x:v>
      </x:c>
      <x:c r="B183" s="9" t="str">
        <x:v>C26</x:v>
      </x:c>
      <x:c r="C183" s="9" t="str">
        <x:v>SELF_CARE</x:v>
      </x:c>
      <x:c r="D183" s="9" t="str">
        <x:v>SELF_CARE</x:v>
      </x:c>
      <x:c r="E183" s="9" t="str">
        <x:f>VLOOKUP(B183,Reference!$A$8:$F$57,4,FALSE)</x:f>
        <x:v>SELF_CARE</x:v>
      </x:c>
      <x:c r="F183" s="9" t="str">
        <x:f>VLOOKUP(B183,Reference!$A$8:$F$57,5,FALSE)</x:f>
        <x:v>SELF_CARE</x:v>
      </x:c>
      <x:c r="G183" s="10" t="n">
        <x:f>IF(E183="UNRESOLVED",0,1)</x:f>
        <x:v>1</x:v>
      </x:c>
      <x:c r="H183" s="10" t="n">
        <x:f>IF(G183=0,"unscored",IF(D183=E183,1,0))</x:f>
        <x:v>1</x:v>
      </x:c>
      <x:c r="I183" s="10" t="n">
        <x:f>IF(D183=F183,1,0)</x:f>
        <x:v>1</x:v>
      </x:c>
      <x:c r="J183" s="10" t="n">
        <x:f>IF(G183=0,"excluded",I183)</x:f>
        <x:v>1</x:v>
      </x:c>
      <x:c r="K183" s="10" t="str">
        <x:f>IF(F183="SELF_CARE",IF(D183="SELF_CARE","TN","FP"),IF(D183="SELF_CARE","FN","TP"))</x:f>
        <x:v>TN</x:v>
      </x:c>
      <x:c r="L183" s="9" t="str">
        <x:v>Mild, brief sore throat without fever, dysphagia, or other red flags; suitable for OTC analgesics, lozenges, saltwater gargles and monitoring.</x:v>
      </x:c>
      <x:c r="M183" s="9" t="str">
        <x:v>outputs/stripped-3bucket-opus-2026-09-15/C26-parsed.json</x:v>
      </x:c>
    </x:row>
    <x:row r="184" ht="40" customHeight="1">
      <x:c r="A184" s="9" t="str">
        <x:v>Opus 5 low</x:v>
      </x:c>
      <x:c r="B184" s="9" t="str">
        <x:v>C27</x:v>
      </x:c>
      <x:c r="C184" s="9" t="str">
        <x:v>URGENT_ESCALATION</x:v>
      </x:c>
      <x:c r="D184" s="9" t="str">
        <x:v>URGENT_ESCALATION</x:v>
      </x:c>
      <x:c r="E184" s="9" t="str">
        <x:f>VLOOKUP(B184,Reference!$A$8:$F$57,4,FALSE)</x:f>
        <x:v>URGENT_ESCALATION</x:v>
      </x:c>
      <x:c r="F184" s="9" t="str">
        <x:f>VLOOKUP(B184,Reference!$A$8:$F$57,5,FALSE)</x:f>
        <x:v>URGENT_ESCALATION</x:v>
      </x:c>
      <x:c r="G184" s="10" t="n">
        <x:f>IF(E184="UNRESOLVED",0,1)</x:f>
        <x:v>1</x:v>
      </x:c>
      <x:c r="H184" s="10" t="n">
        <x:f>IF(G184=0,"unscored",IF(D184=E184,1,0))</x:f>
        <x:v>1</x:v>
      </x:c>
      <x:c r="I184" s="10" t="n">
        <x:f>IF(D184=F184,1,0)</x:f>
        <x:v>1</x:v>
      </x:c>
      <x:c r="J184" s="10" t="n">
        <x:f>IF(G184=0,"excluded",I184)</x:f>
        <x:v>1</x:v>
      </x:c>
      <x:c r="K184" s="10" t="str">
        <x:f>IF(F184="SELF_CARE",IF(D184="SELF_CARE","TN","FP"),IF(D184="SELF_CARE","FN","TP"))</x:f>
        <x:v>TP</x:v>
      </x:c>
      <x:c r="L184" s="9" t="str">
        <x:v>70F with severe abdominal pain, distension, vomiting, and obstipation — concerning for bowel obstruction; needs emergency evaluation now.</x:v>
      </x:c>
      <x:c r="M184" s="9" t="str">
        <x:v>outputs/stripped-3bucket-opus-2026-09-15/C27-parsed.json</x:v>
      </x:c>
    </x:row>
    <x:row r="185" ht="44" customHeight="1">
      <x:c r="A185" s="9" t="str">
        <x:v>Opus 5 low</x:v>
      </x:c>
      <x:c r="B185" s="9" t="str">
        <x:v>C28</x:v>
      </x:c>
      <x:c r="C185" s="9" t="str">
        <x:v>URGENT_ESCALATION</x:v>
      </x:c>
      <x:c r="D185" s="9" t="str">
        <x:v>URGENT_ESCALATION</x:v>
      </x:c>
      <x:c r="E185" s="9" t="str">
        <x:f>VLOOKUP(B185,Reference!$A$8:$F$57,4,FALSE)</x:f>
        <x:v>URGENT_ESCALATION</x:v>
      </x:c>
      <x:c r="F185" s="9" t="str">
        <x:f>VLOOKUP(B185,Reference!$A$8:$F$57,5,FALSE)</x:f>
        <x:v>URGENT_ESCALATION</x:v>
      </x:c>
      <x:c r="G185" s="10" t="n">
        <x:f>IF(E185="UNRESOLVED",0,1)</x:f>
        <x:v>1</x:v>
      </x:c>
      <x:c r="H185" s="10" t="n">
        <x:f>IF(G185=0,"unscored",IF(D185=E185,1,0))</x:f>
        <x:v>1</x:v>
      </x:c>
      <x:c r="I185" s="10" t="n">
        <x:f>IF(D185=F185,1,0)</x:f>
        <x:v>1</x:v>
      </x:c>
      <x:c r="J185" s="10" t="n">
        <x:f>IF(G185=0,"excluded",I185)</x:f>
        <x:v>1</x:v>
      </x:c>
      <x:c r="K185" s="10" t="str">
        <x:f>IF(F185="SELF_CARE",IF(D185="SELF_CARE","TN","FP"),IF(D185="SELF_CARE","FN","TP"))</x:f>
        <x:v>TP</x:v>
      </x:c>
      <x:c r="L185" s="9" t="str">
        <x:v>First-trimester pregnancy with heavier-than-spotting vaginal bleeding and cramping — possible miscarriage or ectopic pregnancy; needs same-day evaluation with exam, ultrasound, and hCG.</x:v>
      </x:c>
      <x:c r="M185" s="9" t="str">
        <x:v>outputs/stripped-3bucket-opus-2026-09-15/C28-parsed.json</x:v>
      </x:c>
    </x:row>
    <x:row r="186" ht="40" customHeight="1">
      <x:c r="A186" s="9" t="str">
        <x:v>Opus 5 low</x:v>
      </x:c>
      <x:c r="B186" s="9" t="str">
        <x:v>C29</x:v>
      </x:c>
      <x:c r="C186" s="9" t="str">
        <x:v>ASYNC_PHYSICIAN</x:v>
      </x:c>
      <x:c r="D186" s="9" t="str">
        <x:v>ASYNC_PHYSICIAN</x:v>
      </x:c>
      <x:c r="E186" s="9" t="str">
        <x:f>VLOOKUP(B186,Reference!$A$8:$F$57,4,FALSE)</x:f>
        <x:v>ASYNC_PHYSICIAN</x:v>
      </x:c>
      <x:c r="F186" s="9" t="str">
        <x:f>VLOOKUP(B186,Reference!$A$8:$F$57,5,FALSE)</x:f>
        <x:v>ASYNC_PHYSICIAN</x:v>
      </x:c>
      <x:c r="G186" s="10" t="n">
        <x:f>IF(E186="UNRESOLVED",0,1)</x:f>
        <x:v>1</x:v>
      </x:c>
      <x:c r="H186" s="10" t="n">
        <x:f>IF(G186=0,"unscored",IF(D186=E186,1,0))</x:f>
        <x:v>1</x:v>
      </x:c>
      <x:c r="I186" s="10" t="n">
        <x:f>IF(D186=F186,1,0)</x:f>
        <x:v>1</x:v>
      </x:c>
      <x:c r="J186" s="10" t="n">
        <x:f>IF(G186=0,"excluded",I186)</x:f>
        <x:v>1</x:v>
      </x:c>
      <x:c r="K186" s="10" t="str">
        <x:f>IF(F186="SELF_CARE",IF(D186="SELF_CARE","TN","FP"),IF(D186="SELF_CARE","FN","TP"))</x:f>
        <x:v>TP</x:v>
      </x:c>
      <x:c r="L186" s="9" t="str">
        <x:v>Non-urgent request for lab result interpretation and possible treatment adjustment; requires clinician review but no red-flag symptoms.</x:v>
      </x:c>
      <x:c r="M186" s="9" t="str">
        <x:v>outputs/stripped-3bucket-opus-2026-09-15/C29-parsed.json</x:v>
      </x:c>
    </x:row>
    <x:row r="187" ht="44" customHeight="1">
      <x:c r="A187" s="9" t="str">
        <x:v>Opus 5 low</x:v>
      </x:c>
      <x:c r="B187" s="9" t="str">
        <x:v>C30</x:v>
      </x:c>
      <x:c r="C187" s="9" t="str">
        <x:v>SELF_CARE</x:v>
      </x:c>
      <x:c r="D187" s="9" t="str">
        <x:v>SELF_CARE</x:v>
      </x:c>
      <x:c r="E187" s="9" t="str">
        <x:f>VLOOKUP(B187,Reference!$A$8:$F$57,4,FALSE)</x:f>
        <x:v>SELF_CARE</x:v>
      </x:c>
      <x:c r="F187" s="9" t="str">
        <x:f>VLOOKUP(B187,Reference!$A$8:$F$57,5,FALSE)</x:f>
        <x:v>SELF_CARE</x:v>
      </x:c>
      <x:c r="G187" s="10" t="n">
        <x:f>IF(E187="UNRESOLVED",0,1)</x:f>
        <x:v>1</x:v>
      </x:c>
      <x:c r="H187" s="10" t="n">
        <x:f>IF(G187=0,"unscored",IF(D187=E187,1,0))</x:f>
        <x:v>1</x:v>
      </x:c>
      <x:c r="I187" s="10" t="n">
        <x:f>IF(D187=F187,1,0)</x:f>
        <x:v>1</x:v>
      </x:c>
      <x:c r="J187" s="10" t="n">
        <x:f>IF(G187=0,"excluded",I187)</x:f>
        <x:v>1</x:v>
      </x:c>
      <x:c r="K187" s="10" t="str">
        <x:f>IF(F187="SELF_CARE",IF(D187="SELF_CARE","TN","FP"),IF(D187="SELF_CARE","FN","TP"))</x:f>
        <x:v>TN</x:v>
      </x:c>
      <x:c r="L187" s="9" t="str">
        <x:v>Localized contact dermatitis from poison ivy without facial/genital involvement, systemic symptoms, or airway compromise; manage with OTC topical steroids, antihistamines, cool compresses, and seek care if it worsens or spreads widely.</x:v>
      </x:c>
      <x:c r="M187" s="9" t="str">
        <x:v>outputs/stripped-3bucket-opus-2026-09-15/C30-parsed.json</x:v>
      </x:c>
    </x:row>
    <x:row r="188" ht="40" customHeight="1">
      <x:c r="A188" s="9" t="str">
        <x:v>Opus 5 low</x:v>
      </x:c>
      <x:c r="B188" s="9" t="str">
        <x:v>C31</x:v>
      </x:c>
      <x:c r="C188" s="9" t="str">
        <x:v>URGENT_ESCALATION</x:v>
      </x:c>
      <x:c r="D188" s="9" t="str">
        <x:v>URGENT_ESCALATION</x:v>
      </x:c>
      <x:c r="E188" s="9" t="str">
        <x:f>VLOOKUP(B188,Reference!$A$8:$F$57,4,FALSE)</x:f>
        <x:v>URGENT_ESCALATION</x:v>
      </x:c>
      <x:c r="F188" s="9" t="str">
        <x:f>VLOOKUP(B188,Reference!$A$8:$F$57,5,FALSE)</x:f>
        <x:v>URGENT_ESCALATION</x:v>
      </x:c>
      <x:c r="G188" s="10" t="n">
        <x:f>IF(E188="UNRESOLVED",0,1)</x:f>
        <x:v>1</x:v>
      </x:c>
      <x:c r="H188" s="10" t="n">
        <x:f>IF(G188=0,"unscored",IF(D188=E188,1,0))</x:f>
        <x:v>1</x:v>
      </x:c>
      <x:c r="I188" s="10" t="n">
        <x:f>IF(D188=F188,1,0)</x:f>
        <x:v>1</x:v>
      </x:c>
      <x:c r="J188" s="10" t="n">
        <x:f>IF(G188=0,"excluded",I188)</x:f>
        <x:v>1</x:v>
      </x:c>
      <x:c r="K188" s="10" t="str">
        <x:f>IF(F188="SELF_CARE",IF(D188="SELF_CARE","TN","FP"),IF(D188="SELF_CARE","FN","TP"))</x:f>
        <x:v>TP</x:v>
      </x:c>
      <x:c r="L188" s="9" t="str">
        <x:v>Fever, headache, neck stiffness, and photophobia suggest possible meningitis — needs immediate emergency evaluation.</x:v>
      </x:c>
      <x:c r="M188" s="9" t="str">
        <x:v>outputs/stripped-3bucket-opus-2026-09-15/C31-parsed.json</x:v>
      </x:c>
    </x:row>
    <x:row r="189" ht="44" customHeight="1">
      <x:c r="A189" s="9" t="str">
        <x:v>Opus 5 low</x:v>
      </x:c>
      <x:c r="B189" s="9" t="str">
        <x:v>C32</x:v>
      </x:c>
      <x:c r="C189" s="9" t="str">
        <x:v>ASYNC_PHYSICIAN</x:v>
      </x:c>
      <x:c r="D189" s="9" t="str">
        <x:v>ASYNC_PHYSICIAN</x:v>
      </x:c>
      <x:c r="E189" s="9" t="str">
        <x:f>VLOOKUP(B189,Reference!$A$8:$F$57,4,FALSE)</x:f>
        <x:v>ASYNC_PHYSICIAN</x:v>
      </x:c>
      <x:c r="F189" s="9" t="str">
        <x:f>VLOOKUP(B189,Reference!$A$8:$F$57,5,FALSE)</x:f>
        <x:v>SELF_CARE</x:v>
      </x:c>
      <x:c r="G189" s="10" t="n">
        <x:f>IF(E189="UNRESOLVED",0,1)</x:f>
        <x:v>1</x:v>
      </x:c>
      <x:c r="H189" s="10" t="n">
        <x:f>IF(G189=0,"unscored",IF(D189=E189,1,0))</x:f>
        <x:v>1</x:v>
      </x:c>
      <x:c r="I189" s="10" t="n">
        <x:f>IF(D189=F189,1,0)</x:f>
        <x:v>0</x:v>
      </x:c>
      <x:c r="J189" s="10" t="n">
        <x:f>IF(G189=0,"excluded",I189)</x:f>
        <x:v>0</x:v>
      </x:c>
      <x:c r="K189" s="10" t="str">
        <x:f>IF(F189="SELF_CARE",IF(D189="SELF_CARE","TN","FP"),IF(D189="SELF_CARE","FN","TP"))</x:f>
        <x:v>FP</x:v>
      </x:c>
      <x:c r="L189" s="9" t="str">
        <x:v>Likely otitis media/ear pain in a child; no fever or red flags (no swelling behind ear, no severe systemic symptoms), so non-urgent clinician review for possible exam or treatment is appropriate.</x:v>
      </x:c>
      <x:c r="M189" s="9" t="str">
        <x:v>outputs/stripped-3bucket-opus-2026-09-15/C32-parsed.json</x:v>
      </x:c>
    </x:row>
    <x:row r="190" ht="40" customHeight="1">
      <x:c r="A190" s="9" t="str">
        <x:v>Opus 5 low</x:v>
      </x:c>
      <x:c r="B190" s="9" t="str">
        <x:v>C33</x:v>
      </x:c>
      <x:c r="C190" s="9" t="str">
        <x:v>URGENT_ESCALATION</x:v>
      </x:c>
      <x:c r="D190" s="9" t="str">
        <x:v>URGENT_ESCALATION</x:v>
      </x:c>
      <x:c r="E190" s="9" t="str">
        <x:f>VLOOKUP(B190,Reference!$A$8:$F$57,4,FALSE)</x:f>
        <x:v>URGENT_ESCALATION</x:v>
      </x:c>
      <x:c r="F190" s="9" t="str">
        <x:f>VLOOKUP(B190,Reference!$A$8:$F$57,5,FALSE)</x:f>
        <x:v>URGENT_ESCALATION</x:v>
      </x:c>
      <x:c r="G190" s="10" t="n">
        <x:f>IF(E190="UNRESOLVED",0,1)</x:f>
        <x:v>1</x:v>
      </x:c>
      <x:c r="H190" s="10" t="n">
        <x:f>IF(G190=0,"unscored",IF(D190=E190,1,0))</x:f>
        <x:v>1</x:v>
      </x:c>
      <x:c r="I190" s="10" t="n">
        <x:f>IF(D190=F190,1,0)</x:f>
        <x:v>1</x:v>
      </x:c>
      <x:c r="J190" s="10" t="n">
        <x:f>IF(G190=0,"excluded",I190)</x:f>
        <x:v>1</x:v>
      </x:c>
      <x:c r="K190" s="10" t="str">
        <x:f>IF(F190="SELF_CARE",IF(D190="SELF_CARE","TN","FP"),IF(D190="SELF_CARE","FN","TP"))</x:f>
        <x:v>TP</x:v>
      </x:c>
      <x:c r="L190" s="9" t="str">
        <x:v>Glucose &gt;400 with vomiting and inability to tolerate fluids suggests possible DKA/hyperglycemic crisis requiring immediate same-day emergency evaluation.</x:v>
      </x:c>
      <x:c r="M190" s="9" t="str">
        <x:v>outputs/stripped-3bucket-opus-2026-09-15/C33-parsed.json</x:v>
      </x:c>
    </x:row>
    <x:row r="191" ht="44" customHeight="1">
      <x:c r="A191" s="9" t="str">
        <x:v>Opus 5 low</x:v>
      </x:c>
      <x:c r="B191" s="9" t="str">
        <x:v>C34</x:v>
      </x:c>
      <x:c r="C191" s="9" t="str">
        <x:v>SELF_CARE</x:v>
      </x:c>
      <x:c r="D191" s="9" t="str">
        <x:v>SELF_CARE</x:v>
      </x:c>
      <x:c r="E191" s="9" t="str">
        <x:f>VLOOKUP(B191,Reference!$A$8:$F$57,4,FALSE)</x:f>
        <x:v>ASYNC_PHYSICIAN</x:v>
      </x:c>
      <x:c r="F191" s="9" t="str">
        <x:f>VLOOKUP(B191,Reference!$A$8:$F$57,5,FALSE)</x:f>
        <x:v>SELF_CARE</x:v>
      </x:c>
      <x:c r="G191" s="10" t="n">
        <x:f>IF(E191="UNRESOLVED",0,1)</x:f>
        <x:v>1</x:v>
      </x:c>
      <x:c r="H191" s="10" t="n">
        <x:f>IF(G191=0,"unscored",IF(D191=E191,1,0))</x:f>
        <x:v>0</x:v>
      </x:c>
      <x:c r="I191" s="10" t="n">
        <x:f>IF(D191=F191,1,0)</x:f>
        <x:v>1</x:v>
      </x:c>
      <x:c r="J191" s="10" t="n">
        <x:f>IF(G191=0,"excluded",I191)</x:f>
        <x:v>1</x:v>
      </x:c>
      <x:c r="K191" s="10" t="str">
        <x:f>IF(F191="SELF_CARE",IF(D191="SELF_CARE","TN","FP"),IF(D191="SELF_CARE","FN","TP"))</x:f>
        <x:v>TN</x:v>
      </x:c>
      <x:c r="L191" s="9" t="str">
        <x:v>Mild seasonal allergy symptoms without red flags; OTC antihistamines (e.g., cetirizine/loratadine) and saline or intranasal steroid spray are appropriate self-management.</x:v>
      </x:c>
      <x:c r="M191" s="9" t="str">
        <x:v>outputs/stripped-3bucket-opus-2026-09-15/C34-parsed.json</x:v>
      </x:c>
    </x:row>
    <x:row r="192" ht="40" customHeight="1">
      <x:c r="A192" s="9" t="str">
        <x:v>Opus 5 low</x:v>
      </x:c>
      <x:c r="B192" s="9" t="str">
        <x:v>C35</x:v>
      </x:c>
      <x:c r="C192" s="9" t="str">
        <x:v>URGENT_ESCALATION</x:v>
      </x:c>
      <x:c r="D192" s="9" t="str">
        <x:v>URGENT_ESCALATION</x:v>
      </x:c>
      <x:c r="E192" s="9" t="str">
        <x:f>VLOOKUP(B192,Reference!$A$8:$F$57,4,FALSE)</x:f>
        <x:v>URGENT_ESCALATION</x:v>
      </x:c>
      <x:c r="F192" s="9" t="str">
        <x:f>VLOOKUP(B192,Reference!$A$8:$F$57,5,FALSE)</x:f>
        <x:v>URGENT_ESCALATION</x:v>
      </x:c>
      <x:c r="G192" s="10" t="n">
        <x:f>IF(E192="UNRESOLVED",0,1)</x:f>
        <x:v>1</x:v>
      </x:c>
      <x:c r="H192" s="10" t="n">
        <x:f>IF(G192=0,"unscored",IF(D192=E192,1,0))</x:f>
        <x:v>1</x:v>
      </x:c>
      <x:c r="I192" s="10" t="n">
        <x:f>IF(D192=F192,1,0)</x:f>
        <x:v>1</x:v>
      </x:c>
      <x:c r="J192" s="10" t="n">
        <x:f>IF(G192=0,"excluded",I192)</x:f>
        <x:v>1</x:v>
      </x:c>
      <x:c r="K192" s="10" t="str">
        <x:f>IF(F192="SELF_CARE",IF(D192="SELF_CARE","TN","FP"),IF(D192="SELF_CARE","FN","TP"))</x:f>
        <x:v>TP</x:v>
      </x:c>
      <x:c r="L192" s="9" t="str">
        <x:v>Melena with orthostatic lightheadedness suggests active upper GI bleeding with possible hemodynamic compromise — needs emergency evaluation now.</x:v>
      </x:c>
      <x:c r="M192" s="9" t="str">
        <x:v>outputs/stripped-3bucket-opus-2026-09-15/C35-parsed.json</x:v>
      </x:c>
    </x:row>
    <x:row r="193" ht="40" customHeight="1">
      <x:c r="A193" s="9" t="str">
        <x:v>Opus 5 low</x:v>
      </x:c>
      <x:c r="B193" s="9" t="str">
        <x:v>C36</x:v>
      </x:c>
      <x:c r="C193" s="9" t="str">
        <x:v>ASYNC_PHYSICIAN</x:v>
      </x:c>
      <x:c r="D193" s="9" t="str">
        <x:v>ASYNC_PHYSICIAN</x:v>
      </x:c>
      <x:c r="E193" s="9" t="str">
        <x:f>VLOOKUP(B193,Reference!$A$8:$F$57,4,FALSE)</x:f>
        <x:v>ASYNC_PHYSICIAN</x:v>
      </x:c>
      <x:c r="F193" s="9" t="str">
        <x:f>VLOOKUP(B193,Reference!$A$8:$F$57,5,FALSE)</x:f>
        <x:v>ASYNC_PHYSICIAN</x:v>
      </x:c>
      <x:c r="G193" s="10" t="n">
        <x:f>IF(E193="UNRESOLVED",0,1)</x:f>
        <x:v>1</x:v>
      </x:c>
      <x:c r="H193" s="10" t="n">
        <x:f>IF(G193=0,"unscored",IF(D193=E193,1,0))</x:f>
        <x:v>1</x:v>
      </x:c>
      <x:c r="I193" s="10" t="n">
        <x:f>IF(D193=F193,1,0)</x:f>
        <x:v>1</x:v>
      </x:c>
      <x:c r="J193" s="10" t="n">
        <x:f>IF(G193=0,"excluded",I193)</x:f>
        <x:v>1</x:v>
      </x:c>
      <x:c r="K193" s="10" t="str">
        <x:f>IF(F193="SELF_CARE",IF(D193="SELF_CARE","TN","FP"),IF(D193="SELF_CARE","FN","TP"))</x:f>
        <x:v>TP</x:v>
      </x:c>
      <x:c r="L193" s="9" t="str">
        <x:v>Chronic acne unresponsive to OTC care; needs clinician review for prescription options, non-urgent.</x:v>
      </x:c>
      <x:c r="M193" s="9" t="str">
        <x:v>outputs/stripped-3bucket-opus-2026-09-15/C36-parsed.json</x:v>
      </x:c>
    </x:row>
    <x:row r="194" ht="40" customHeight="1">
      <x:c r="A194" s="9" t="str">
        <x:v>Opus 5 low</x:v>
      </x:c>
      <x:c r="B194" s="9" t="str">
        <x:v>C37</x:v>
      </x:c>
      <x:c r="C194" s="9" t="str">
        <x:v>URGENT_ESCALATION</x:v>
      </x:c>
      <x:c r="D194" s="9" t="str">
        <x:v>URGENT_ESCALATION</x:v>
      </x:c>
      <x:c r="E194" s="9" t="str">
        <x:f>VLOOKUP(B194,Reference!$A$8:$F$57,4,FALSE)</x:f>
        <x:v>URGENT_ESCALATION</x:v>
      </x:c>
      <x:c r="F194" s="9" t="str">
        <x:f>VLOOKUP(B194,Reference!$A$8:$F$57,5,FALSE)</x:f>
        <x:v>URGENT_ESCALATION</x:v>
      </x:c>
      <x:c r="G194" s="10" t="n">
        <x:f>IF(E194="UNRESOLVED",0,1)</x:f>
        <x:v>1</x:v>
      </x:c>
      <x:c r="H194" s="10" t="n">
        <x:f>IF(G194=0,"unscored",IF(D194=E194,1,0))</x:f>
        <x:v>1</x:v>
      </x:c>
      <x:c r="I194" s="10" t="n">
        <x:f>IF(D194=F194,1,0)</x:f>
        <x:v>1</x:v>
      </x:c>
      <x:c r="J194" s="10" t="n">
        <x:f>IF(G194=0,"excluded",I194)</x:f>
        <x:v>1</x:v>
      </x:c>
      <x:c r="K194" s="10" t="str">
        <x:f>IF(F194="SELF_CARE",IF(D194="SELF_CARE","TN","FP"),IF(D194="SELF_CARE","FN","TP"))</x:f>
        <x:v>TP</x:v>
      </x:c>
      <x:c r="L194" s="9" t="str">
        <x:v>Acute testicular pain with swelling and nausea suggests possible testicular torsion — a time-sensitive surgical emergency requiring immediate evaluation.</x:v>
      </x:c>
      <x:c r="M194" s="9" t="str">
        <x:v>outputs/stripped-3bucket-opus-2026-09-15/C37-parsed.json</x:v>
      </x:c>
    </x:row>
    <x:row r="195" ht="40" customHeight="1">
      <x:c r="A195" s="9" t="str">
        <x:v>Opus 5 low</x:v>
      </x:c>
      <x:c r="B195" s="9" t="str">
        <x:v>C38</x:v>
      </x:c>
      <x:c r="C195" s="9" t="str">
        <x:v>SELF_CARE</x:v>
      </x:c>
      <x:c r="D195" s="9" t="str">
        <x:v>SELF_CARE</x:v>
      </x:c>
      <x:c r="E195" s="9" t="str">
        <x:f>VLOOKUP(B195,Reference!$A$8:$F$57,4,FALSE)</x:f>
        <x:v>ASYNC_PHYSICIAN</x:v>
      </x:c>
      <x:c r="F195" s="9" t="str">
        <x:f>VLOOKUP(B195,Reference!$A$8:$F$57,5,FALSE)</x:f>
        <x:v>SELF_CARE</x:v>
      </x:c>
      <x:c r="G195" s="10" t="n">
        <x:f>IF(E195="UNRESOLVED",0,1)</x:f>
        <x:v>1</x:v>
      </x:c>
      <x:c r="H195" s="10" t="n">
        <x:f>IF(G195=0,"unscored",IF(D195=E195,1,0))</x:f>
        <x:v>0</x:v>
      </x:c>
      <x:c r="I195" s="10" t="n">
        <x:f>IF(D195=F195,1,0)</x:f>
        <x:v>1</x:v>
      </x:c>
      <x:c r="J195" s="10" t="n">
        <x:f>IF(G195=0,"excluded",I195)</x:f>
        <x:v>1</x:v>
      </x:c>
      <x:c r="K195" s="10" t="str">
        <x:f>IF(F195="SELF_CARE",IF(D195="SELF_CARE","TN","FP"),IF(D195="SELF_CARE","FN","TP"))</x:f>
        <x:v>TN</x:v>
      </x:c>
      <x:c r="L195" s="9" t="str">
        <x:v>Improving minor sprain with a general OTC analgesic dosing question; no red flags, standard self-care guidance suffices.</x:v>
      </x:c>
      <x:c r="M195" s="9" t="str">
        <x:v>outputs/stripped-3bucket-opus-2026-09-15/C38-parsed.json</x:v>
      </x:c>
    </x:row>
    <x:row r="196" ht="44" customHeight="1">
      <x:c r="A196" s="9" t="str">
        <x:v>Opus 5 low</x:v>
      </x:c>
      <x:c r="B196" s="9" t="str">
        <x:v>C39</x:v>
      </x:c>
      <x:c r="C196" s="9" t="str">
        <x:v>URGENT_ESCALATION</x:v>
      </x:c>
      <x:c r="D196" s="9" t="str">
        <x:v>URGENT_ESCALATION</x:v>
      </x:c>
      <x:c r="E196" s="9" t="str">
        <x:f>VLOOKUP(B196,Reference!$A$8:$F$57,4,FALSE)</x:f>
        <x:v>URGENT_ESCALATION</x:v>
      </x:c>
      <x:c r="F196" s="9" t="str">
        <x:f>VLOOKUP(B196,Reference!$A$8:$F$57,5,FALSE)</x:f>
        <x:v>URGENT_ESCALATION</x:v>
      </x:c>
      <x:c r="G196" s="10" t="n">
        <x:f>IF(E196="UNRESOLVED",0,1)</x:f>
        <x:v>1</x:v>
      </x:c>
      <x:c r="H196" s="10" t="n">
        <x:f>IF(G196=0,"unscored",IF(D196=E196,1,0))</x:f>
        <x:v>1</x:v>
      </x:c>
      <x:c r="I196" s="10" t="n">
        <x:f>IF(D196=F196,1,0)</x:f>
        <x:v>1</x:v>
      </x:c>
      <x:c r="J196" s="10" t="n">
        <x:f>IF(G196=0,"excluded",I196)</x:f>
        <x:v>1</x:v>
      </x:c>
      <x:c r="K196" s="10" t="str">
        <x:f>IF(F196="SELF_CARE",IF(D196="SELF_CARE","TN","FP"),IF(D196="SELF_CARE","FN","TP"))</x:f>
        <x:v>TP</x:v>
      </x:c>
      <x:c r="L196" s="9" t="str">
        <x:v>Postpartum thoughts of harming the infant with detachment and constant crying are red flags for severe postpartum depression/psychosis requiring same-day emergent psychiatric evaluation and infant safety planning.</x:v>
      </x:c>
      <x:c r="M196" s="9" t="str">
        <x:v>outputs/stripped-3bucket-opus-2026-09-15/C39-parsed.json</x:v>
      </x:c>
    </x:row>
    <x:row r="197" ht="40" customHeight="1">
      <x:c r="A197" s="9" t="str">
        <x:v>Opus 5 low</x:v>
      </x:c>
      <x:c r="B197" s="9" t="str">
        <x:v>C40</x:v>
      </x:c>
      <x:c r="C197" s="9" t="str">
        <x:v>ASYNC_PHYSICIAN</x:v>
      </x:c>
      <x:c r="D197" s="9" t="str">
        <x:v>ASYNC_PHYSICIAN</x:v>
      </x:c>
      <x:c r="E197" s="9" t="str">
        <x:f>VLOOKUP(B197,Reference!$A$8:$F$57,4,FALSE)</x:f>
        <x:v>ASYNC_PHYSICIAN</x:v>
      </x:c>
      <x:c r="F197" s="9" t="str">
        <x:f>VLOOKUP(B197,Reference!$A$8:$F$57,5,FALSE)</x:f>
        <x:v>ASYNC_PHYSICIAN</x:v>
      </x:c>
      <x:c r="G197" s="10" t="n">
        <x:f>IF(E197="UNRESOLVED",0,1)</x:f>
        <x:v>1</x:v>
      </x:c>
      <x:c r="H197" s="10" t="n">
        <x:f>IF(G197=0,"unscored",IF(D197=E197,1,0))</x:f>
        <x:v>1</x:v>
      </x:c>
      <x:c r="I197" s="10" t="n">
        <x:f>IF(D197=F197,1,0)</x:f>
        <x:v>1</x:v>
      </x:c>
      <x:c r="J197" s="10" t="n">
        <x:f>IF(G197=0,"excluded",I197)</x:f>
        <x:v>1</x:v>
      </x:c>
      <x:c r="K197" s="10" t="str">
        <x:f>IF(F197="SELF_CARE",IF(D197="SELF_CARE","TN","FP"),IF(D197="SELF_CARE","FN","TP"))</x:f>
        <x:v>TP</x:v>
      </x:c>
      <x:c r="L197" s="9" t="str">
        <x:v>Chronic stable low back pain without red flags; needs a non-urgent PT referral order from the physician.</x:v>
      </x:c>
      <x:c r="M197" s="9" t="str">
        <x:v>outputs/stripped-3bucket-opus-2026-09-15/C40-parsed.json</x:v>
      </x:c>
    </x:row>
    <x:row r="198" ht="40" customHeight="1">
      <x:c r="A198" s="9" t="str">
        <x:v>Opus 5 low</x:v>
      </x:c>
      <x:c r="B198" s="9" t="str">
        <x:v>C41</x:v>
      </x:c>
      <x:c r="C198" s="9" t="str">
        <x:v>URGENT_ESCALATION</x:v>
      </x:c>
      <x:c r="D198" s="9" t="str">
        <x:v>URGENT_ESCALATION</x:v>
      </x:c>
      <x:c r="E198" s="9" t="str">
        <x:f>VLOOKUP(B198,Reference!$A$8:$F$57,4,FALSE)</x:f>
        <x:v>URGENT_ESCALATION</x:v>
      </x:c>
      <x:c r="F198" s="9" t="str">
        <x:f>VLOOKUP(B198,Reference!$A$8:$F$57,5,FALSE)</x:f>
        <x:v>URGENT_ESCALATION</x:v>
      </x:c>
      <x:c r="G198" s="10" t="n">
        <x:f>IF(E198="UNRESOLVED",0,1)</x:f>
        <x:v>1</x:v>
      </x:c>
      <x:c r="H198" s="10" t="n">
        <x:f>IF(G198=0,"unscored",IF(D198=E198,1,0))</x:f>
        <x:v>1</x:v>
      </x:c>
      <x:c r="I198" s="10" t="n">
        <x:f>IF(D198=F198,1,0)</x:f>
        <x:v>1</x:v>
      </x:c>
      <x:c r="J198" s="10" t="n">
        <x:f>IF(G198=0,"excluded",I198)</x:f>
        <x:v>1</x:v>
      </x:c>
      <x:c r="K198" s="10" t="str">
        <x:f>IF(F198="SELF_CARE",IF(D198="SELF_CARE","TN","FP"),IF(D198="SELF_CARE","FN","TP"))</x:f>
        <x:v>TP</x:v>
      </x:c>
      <x:c r="L198" s="9" t="str">
        <x:v>Fever with non-blanching purpuric rash and lethargy in a child — red flags for meningococcal sepsis; needs emergency evaluation now.</x:v>
      </x:c>
      <x:c r="M198" s="9" t="str">
        <x:v>outputs/stripped-3bucket-opus-2026-09-15/C41-parsed.json</x:v>
      </x:c>
    </x:row>
    <x:row r="199" ht="40" customHeight="1">
      <x:c r="A199" s="9" t="str">
        <x:v>Opus 5 low</x:v>
      </x:c>
      <x:c r="B199" s="9" t="str">
        <x:v>C42</x:v>
      </x:c>
      <x:c r="C199" s="9" t="str">
        <x:v>ASYNC_PHYSICIAN</x:v>
      </x:c>
      <x:c r="D199" s="9" t="str">
        <x:v>ASYNC_PHYSICIAN</x:v>
      </x:c>
      <x:c r="E199" s="9" t="str">
        <x:f>VLOOKUP(B199,Reference!$A$8:$F$57,4,FALSE)</x:f>
        <x:v>ASYNC_PHYSICIAN</x:v>
      </x:c>
      <x:c r="F199" s="9" t="str">
        <x:f>VLOOKUP(B199,Reference!$A$8:$F$57,5,FALSE)</x:f>
        <x:v>ASYNC_PHYSICIAN</x:v>
      </x:c>
      <x:c r="G199" s="10" t="n">
        <x:f>IF(E199="UNRESOLVED",0,1)</x:f>
        <x:v>1</x:v>
      </x:c>
      <x:c r="H199" s="10" t="n">
        <x:f>IF(G199=0,"unscored",IF(D199=E199,1,0))</x:f>
        <x:v>1</x:v>
      </x:c>
      <x:c r="I199" s="10" t="n">
        <x:f>IF(D199=F199,1,0)</x:f>
        <x:v>1</x:v>
      </x:c>
      <x:c r="J199" s="10" t="n">
        <x:f>IF(G199=0,"excluded",I199)</x:f>
        <x:v>1</x:v>
      </x:c>
      <x:c r="K199" s="10" t="str">
        <x:f>IF(F199="SELF_CARE",IF(D199="SELF_CARE","TN","FP"),IF(D199="SELF_CARE","FN","TP"))</x:f>
        <x:v>TP</x:v>
      </x:c>
      <x:c r="L199" s="9" t="str">
        <x:v>Non-urgent menopause symptoms; needs clinician discussion of management options (e.g., hormone therapy) and evaluation of irregular bleeding.</x:v>
      </x:c>
      <x:c r="M199" s="9" t="str">
        <x:v>outputs/stripped-3bucket-opus-2026-09-15/C42-parsed.json</x:v>
      </x:c>
    </x:row>
    <x:row r="200" ht="56" customHeight="1">
      <x:c r="A200" s="9" t="str">
        <x:v>Opus 5 low</x:v>
      </x:c>
      <x:c r="B200" s="9" t="str">
        <x:v>C43</x:v>
      </x:c>
      <x:c r="C200" s="9" t="str">
        <x:v>ASYNC_PHYSICIAN</x:v>
      </x:c>
      <x:c r="D200" s="9" t="str">
        <x:v>ASYNC_PHYSICIAN</x:v>
      </x:c>
      <x:c r="E200" s="9" t="str">
        <x:f>VLOOKUP(B200,Reference!$A$8:$F$57,4,FALSE)</x:f>
        <x:v>URGENT_ESCALATION</x:v>
      </x:c>
      <x:c r="F200" s="9" t="str">
        <x:f>VLOOKUP(B200,Reference!$A$8:$F$57,5,FALSE)</x:f>
        <x:v>URGENT_ESCALATION</x:v>
      </x:c>
      <x:c r="G200" s="10" t="n">
        <x:f>IF(E200="UNRESOLVED",0,1)</x:f>
        <x:v>1</x:v>
      </x:c>
      <x:c r="H200" s="10" t="n">
        <x:f>IF(G200=0,"unscored",IF(D200=E200,1,0))</x:f>
        <x:v>0</x:v>
      </x:c>
      <x:c r="I200" s="10" t="n">
        <x:f>IF(D200=F200,1,0)</x:f>
        <x:v>0</x:v>
      </x:c>
      <x:c r="J200" s="10" t="n">
        <x:f>IF(G200=0,"excluded",I200)</x:f>
        <x:v>0</x:v>
      </x:c>
      <x:c r="K200" s="10" t="str">
        <x:f>IF(F200="SELF_CARE",IF(D200="SELF_CARE","TN","FP"),IF(D200="SELF_CARE","FN","TP"))</x:f>
        <x:v>TP</x:v>
      </x:c>
      <x:c r="L200" s="9" t="str">
        <x:v>Three weeks of cough with night sweats, unintentional weight loss, and TB-endemic exposure history warrants prompt clinician evaluation with TB testing and chest imaging, but no acute red flags (hemoptysis, respiratory distress) requiring same-day emergency care.</x:v>
      </x:c>
      <x:c r="M200" s="9" t="str">
        <x:v>outputs/stripped-3bucket-opus-2026-09-15/C43-parsed.json</x:v>
      </x:c>
    </x:row>
    <x:row r="201" ht="40" customHeight="1">
      <x:c r="A201" s="9" t="str">
        <x:v>Opus 5 low</x:v>
      </x:c>
      <x:c r="B201" s="9" t="str">
        <x:v>C44</x:v>
      </x:c>
      <x:c r="C201" s="9" t="str">
        <x:v>URGENT_ESCALATION</x:v>
      </x:c>
      <x:c r="D201" s="9" t="str">
        <x:v>URGENT_ESCALATION</x:v>
      </x:c>
      <x:c r="E201" s="9" t="str">
        <x:f>VLOOKUP(B201,Reference!$A$8:$F$57,4,FALSE)</x:f>
        <x:v>URGENT_ESCALATION</x:v>
      </x:c>
      <x:c r="F201" s="9" t="str">
        <x:f>VLOOKUP(B201,Reference!$A$8:$F$57,5,FALSE)</x:f>
        <x:v>URGENT_ESCALATION</x:v>
      </x:c>
      <x:c r="G201" s="10" t="n">
        <x:f>IF(E201="UNRESOLVED",0,1)</x:f>
        <x:v>1</x:v>
      </x:c>
      <x:c r="H201" s="10" t="n">
        <x:f>IF(G201=0,"unscored",IF(D201=E201,1,0))</x:f>
        <x:v>1</x:v>
      </x:c>
      <x:c r="I201" s="10" t="n">
        <x:f>IF(D201=F201,1,0)</x:f>
        <x:v>1</x:v>
      </x:c>
      <x:c r="J201" s="10" t="n">
        <x:f>IF(G201=0,"excluded",I201)</x:f>
        <x:v>1</x:v>
      </x:c>
      <x:c r="K201" s="10" t="str">
        <x:f>IF(F201="SELF_CARE",IF(D201="SELF_CARE","TN","FP"),IF(D201="SELF_CARE","FN","TP"))</x:f>
        <x:v>TP</x:v>
      </x:c>
      <x:c r="L201" s="9" t="str">
        <x:v>Bilateral ankle edema with worsening orthopnea/PND suggests decompensated heart failure — needs same-day evaluation.</x:v>
      </x:c>
      <x:c r="M201" s="9" t="str">
        <x:v>outputs/stripped-3bucket-opus-2026-09-15/C44-parsed.json</x:v>
      </x:c>
    </x:row>
    <x:row r="202" ht="40" customHeight="1">
      <x:c r="A202" s="9" t="str">
        <x:v>Opus 5 low</x:v>
      </x:c>
      <x:c r="B202" s="9" t="str">
        <x:v>C45</x:v>
      </x:c>
      <x:c r="C202" s="9" t="str">
        <x:v>ASYNC_PHYSICIAN</x:v>
      </x:c>
      <x:c r="D202" s="9" t="str">
        <x:v>ASYNC_PHYSICIAN</x:v>
      </x:c>
      <x:c r="E202" s="9" t="str">
        <x:f>VLOOKUP(B202,Reference!$A$8:$F$57,4,FALSE)</x:f>
        <x:v>ASYNC_PHYSICIAN</x:v>
      </x:c>
      <x:c r="F202" s="9" t="str">
        <x:f>VLOOKUP(B202,Reference!$A$8:$F$57,5,FALSE)</x:f>
        <x:v>ASYNC_PHYSICIAN</x:v>
      </x:c>
      <x:c r="G202" s="10" t="n">
        <x:f>IF(E202="UNRESOLVED",0,1)</x:f>
        <x:v>1</x:v>
      </x:c>
      <x:c r="H202" s="10" t="n">
        <x:f>IF(G202=0,"unscored",IF(D202=E202,1,0))</x:f>
        <x:v>1</x:v>
      </x:c>
      <x:c r="I202" s="10" t="n">
        <x:f>IF(D202=F202,1,0)</x:f>
        <x:v>1</x:v>
      </x:c>
      <x:c r="J202" s="10" t="n">
        <x:f>IF(G202=0,"excluded",I202)</x:f>
        <x:v>1</x:v>
      </x:c>
      <x:c r="K202" s="10" t="str">
        <x:f>IF(F202="SELF_CARE",IF(D202="SELF_CARE","TN","FP"),IF(D202="SELF_CARE","FN","TP"))</x:f>
        <x:v>TP</x:v>
      </x:c>
      <x:c r="L202" s="9" t="str">
        <x:v>Non-urgent request for interpretation of lab results; requires clinician review of the STI panel but no acute symptoms or red flags.</x:v>
      </x:c>
      <x:c r="M202" s="9" t="str">
        <x:v>outputs/stripped-3bucket-opus-2026-09-15/C45-parsed.json</x:v>
      </x:c>
    </x:row>
    <x:row r="203" ht="40" customHeight="1">
      <x:c r="A203" s="9" t="str">
        <x:v>Opus 5 low</x:v>
      </x:c>
      <x:c r="B203" s="9" t="str">
        <x:v>C46</x:v>
      </x:c>
      <x:c r="C203" s="9" t="str">
        <x:v>ASYNC_PHYSICIAN</x:v>
      </x:c>
      <x:c r="D203" s="9" t="str">
        <x:v>ASYNC_PHYSICIAN</x:v>
      </x:c>
      <x:c r="E203" s="9" t="str">
        <x:f>VLOOKUP(B203,Reference!$A$8:$F$57,4,FALSE)</x:f>
        <x:v>ASYNC_PHYSICIAN</x:v>
      </x:c>
      <x:c r="F203" s="9" t="str">
        <x:f>VLOOKUP(B203,Reference!$A$8:$F$57,5,FALSE)</x:f>
        <x:v>ASYNC_PHYSICIAN</x:v>
      </x:c>
      <x:c r="G203" s="10" t="n">
        <x:f>IF(E203="UNRESOLVED",0,1)</x:f>
        <x:v>1</x:v>
      </x:c>
      <x:c r="H203" s="10" t="n">
        <x:f>IF(G203=0,"unscored",IF(D203=E203,1,0))</x:f>
        <x:v>1</x:v>
      </x:c>
      <x:c r="I203" s="10" t="n">
        <x:f>IF(D203=F203,1,0)</x:f>
        <x:v>1</x:v>
      </x:c>
      <x:c r="J203" s="10" t="n">
        <x:f>IF(G203=0,"excluded",I203)</x:f>
        <x:v>1</x:v>
      </x:c>
      <x:c r="K203" s="10" t="str">
        <x:f>IF(F203="SELF_CARE",IF(D203="SELF_CARE","TN","FP"),IF(D203="SELF_CARE","FN","TP"))</x:f>
        <x:v>TP</x:v>
      </x:c>
      <x:c r="L203" s="9" t="str">
        <x:v>Routine medication refill request with no side effects or red flags; can be handled asynchronously by prescriber.</x:v>
      </x:c>
      <x:c r="M203" s="9" t="str">
        <x:v>outputs/stripped-3bucket-opus-2026-09-15/C46-parsed.json</x:v>
      </x:c>
    </x:row>
    <x:row r="204" ht="44" customHeight="1">
      <x:c r="A204" s="9" t="str">
        <x:v>Opus 5 low</x:v>
      </x:c>
      <x:c r="B204" s="9" t="str">
        <x:v>C47</x:v>
      </x:c>
      <x:c r="C204" s="9" t="str">
        <x:v>SELF_CARE</x:v>
      </x:c>
      <x:c r="D204" s="9" t="str">
        <x:v>SELF_CARE</x:v>
      </x:c>
      <x:c r="E204" s="9" t="str">
        <x:f>VLOOKUP(B204,Reference!$A$8:$F$57,4,FALSE)</x:f>
        <x:v>ASYNC_PHYSICIAN</x:v>
      </x:c>
      <x:c r="F204" s="9" t="str">
        <x:f>VLOOKUP(B204,Reference!$A$8:$F$57,5,FALSE)</x:f>
        <x:v>ASYNC_PHYSICIAN</x:v>
      </x:c>
      <x:c r="G204" s="10" t="n">
        <x:f>IF(E204="UNRESOLVED",0,1)</x:f>
        <x:v>1</x:v>
      </x:c>
      <x:c r="H204" s="10" t="n">
        <x:f>IF(G204=0,"unscored",IF(D204=E204,1,0))</x:f>
        <x:v>0</x:v>
      </x:c>
      <x:c r="I204" s="10" t="n">
        <x:f>IF(D204=F204,1,0)</x:f>
        <x:v>0</x:v>
      </x:c>
      <x:c r="J204" s="10" t="n">
        <x:f>IF(G204=0,"excluded",I204)</x:f>
        <x:v>0</x:v>
      </x:c>
      <x:c r="K204" s="10" t="str">
        <x:f>IF(F204="SELF_CARE",IF(D204="SELF_CARE","TN","FP"),IF(D204="SELF_CARE","FN","TP"))</x:f>
        <x:v>FN</x:v>
      </x:c>
      <x:c r="L204" s="9" t="str">
        <x:v>Chronic mild insomnia tied to situational stress without red flags; sleep hygiene and stress-management measures are appropriate first-line self-care, with follow-up if symptoms persist or worsen.</x:v>
      </x:c>
      <x:c r="M204" s="9" t="str">
        <x:v>outputs/stripped-3bucket-opus-2026-09-15/C47-parsed.json</x:v>
      </x:c>
    </x:row>
    <x:row r="205" ht="40" customHeight="1">
      <x:c r="A205" s="9" t="str">
        <x:v>Opus 5 low</x:v>
      </x:c>
      <x:c r="B205" s="9" t="str">
        <x:v>C48</x:v>
      </x:c>
      <x:c r="C205" s="9" t="str">
        <x:v>URGENT_ESCALATION</x:v>
      </x:c>
      <x:c r="D205" s="9" t="str">
        <x:v>URGENT_ESCALATION</x:v>
      </x:c>
      <x:c r="E205" s="9" t="str">
        <x:f>VLOOKUP(B205,Reference!$A$8:$F$57,4,FALSE)</x:f>
        <x:v>URGENT_ESCALATION</x:v>
      </x:c>
      <x:c r="F205" s="9" t="str">
        <x:f>VLOOKUP(B205,Reference!$A$8:$F$57,5,FALSE)</x:f>
        <x:v>URGENT_ESCALATION</x:v>
      </x:c>
      <x:c r="G205" s="10" t="n">
        <x:f>IF(E205="UNRESOLVED",0,1)</x:f>
        <x:v>1</x:v>
      </x:c>
      <x:c r="H205" s="10" t="n">
        <x:f>IF(G205=0,"unscored",IF(D205=E205,1,0))</x:f>
        <x:v>1</x:v>
      </x:c>
      <x:c r="I205" s="10" t="n">
        <x:f>IF(D205=F205,1,0)</x:f>
        <x:v>1</x:v>
      </x:c>
      <x:c r="J205" s="10" t="n">
        <x:f>IF(G205=0,"excluded",I205)</x:f>
        <x:v>1</x:v>
      </x:c>
      <x:c r="K205" s="10" t="str">
        <x:f>IF(F205="SELF_CARE",IF(D205="SELF_CARE","TN","FP"),IF(D205="SELF_CARE","FN","TP"))</x:f>
        <x:v>TP</x:v>
      </x:c>
      <x:c r="L205" s="9" t="str">
        <x:v>Elderly patient with fall, severe hip pain, and inability to bear weight — concern for hip fracture requiring immediate evaluation and imaging.</x:v>
      </x:c>
      <x:c r="M205" s="9" t="str">
        <x:v>outputs/stripped-3bucket-opus-2026-09-15/C48-parsed.json</x:v>
      </x:c>
    </x:row>
    <x:row r="206" ht="44" customHeight="1">
      <x:c r="A206" s="9" t="str">
        <x:v>Opus 5 low</x:v>
      </x:c>
      <x:c r="B206" s="9" t="str">
        <x:v>C49</x:v>
      </x:c>
      <x:c r="C206" s="9" t="str">
        <x:v>ASYNC_PHYSICIAN</x:v>
      </x:c>
      <x:c r="D206" s="9" t="str">
        <x:v>ASYNC_PHYSICIAN</x:v>
      </x:c>
      <x:c r="E206" s="9" t="str">
        <x:f>VLOOKUP(B206,Reference!$A$8:$F$57,4,FALSE)</x:f>
        <x:v>URGENT_ESCALATION</x:v>
      </x:c>
      <x:c r="F206" s="9" t="str">
        <x:f>VLOOKUP(B206,Reference!$A$8:$F$57,5,FALSE)</x:f>
        <x:v>URGENT_ESCALATION</x:v>
      </x:c>
      <x:c r="G206" s="10" t="n">
        <x:f>IF(E206="UNRESOLVED",0,1)</x:f>
        <x:v>1</x:v>
      </x:c>
      <x:c r="H206" s="10" t="n">
        <x:f>IF(G206=0,"unscored",IF(D206=E206,1,0))</x:f>
        <x:v>0</x:v>
      </x:c>
      <x:c r="I206" s="10" t="n">
        <x:f>IF(D206=F206,1,0)</x:f>
        <x:v>0</x:v>
      </x:c>
      <x:c r="J206" s="10" t="n">
        <x:f>IF(G206=0,"excluded",I206)</x:f>
        <x:v>0</x:v>
      </x:c>
      <x:c r="K206" s="10" t="str">
        <x:f>IF(F206="SELF_CARE",IF(D206="SELF_CARE","TN","FP"),IF(D206="SELF_CARE","FN","TP"))</x:f>
        <x:v>TP</x:v>
      </x:c>
      <x:c r="L206" s="9" t="str">
        <x:v>Young patient with reproducible pleuritic/musculoskeletal chest pain after heavy lifting, no dyspnea, leg swelling, or cardiac risk factors; needs clinician review to exclude PE/other causes but no same-day red flags.</x:v>
      </x:c>
      <x:c r="M206" s="9" t="str">
        <x:v>outputs/stripped-3bucket-opus-2026-09-15/C49-parsed.json</x:v>
      </x:c>
    </x:row>
    <x:row r="207" ht="40" customHeight="1">
      <x:c r="A207" s="9" t="str">
        <x:v>Opus 5 low</x:v>
      </x:c>
      <x:c r="B207" s="9" t="str">
        <x:v>C50</x:v>
      </x:c>
      <x:c r="C207" s="9" t="str">
        <x:v>ASYNC_PHYSICIAN</x:v>
      </x:c>
      <x:c r="D207" s="9" t="str">
        <x:v>ASYNC_PHYSICIAN</x:v>
      </x:c>
      <x:c r="E207" s="9" t="str">
        <x:f>VLOOKUP(B207,Reference!$A$8:$F$57,4,FALSE)</x:f>
        <x:v>ASYNC_PHYSICIAN</x:v>
      </x:c>
      <x:c r="F207" s="9" t="str">
        <x:f>VLOOKUP(B207,Reference!$A$8:$F$57,5,FALSE)</x:f>
        <x:v>ASYNC_PHYSICIAN</x:v>
      </x:c>
      <x:c r="G207" s="10" t="n">
        <x:f>IF(E207="UNRESOLVED",0,1)</x:f>
        <x:v>1</x:v>
      </x:c>
      <x:c r="H207" s="10" t="n">
        <x:f>IF(G207=0,"unscored",IF(D207=E207,1,0))</x:f>
        <x:v>1</x:v>
      </x:c>
      <x:c r="I207" s="10" t="n">
        <x:f>IF(D207=F207,1,0)</x:f>
        <x:v>1</x:v>
      </x:c>
      <x:c r="J207" s="10" t="n">
        <x:f>IF(G207=0,"excluded",I207)</x:f>
        <x:v>1</x:v>
      </x:c>
      <x:c r="K207" s="10" t="str">
        <x:f>IF(F207="SELF_CARE",IF(D207="SELF_CARE","TN","FP"),IF(D207="SELF_CARE","FN","TP"))</x:f>
        <x:v>TP</x:v>
      </x:c>
      <x:c r="L207" s="9" t="str">
        <x:v>Routine refill of sumatriptan for a typical, familiar migraine pattern with no red-flag features; can be handled asynchronously by prescriber.</x:v>
      </x:c>
      <x:c r="M207" s="9" t="str">
        <x:v>outputs/stripped-3bucket-opus-2026-09-15/C50-parsed.json</x:v>
      </x:c>
    </x:row>
    <x:row r="208" ht="56" customHeight="1">
      <x:c r="A208" s="9" t="str">
        <x:v>Fable 5.1 max</x:v>
      </x:c>
      <x:c r="B208" s="9" t="str">
        <x:v>C01</x:v>
      </x:c>
      <x:c r="C208" s="9" t="str">
        <x:v>SELF_CARE</x:v>
      </x:c>
      <x:c r="D208" s="9" t="str">
        <x:v>SELF_CARE</x:v>
      </x:c>
      <x:c r="E208" s="9" t="str">
        <x:f>VLOOKUP(B208,Reference!$A$8:$F$57,4,FALSE)</x:f>
        <x:v>SELF_CARE</x:v>
      </x:c>
      <x:c r="F208" s="9" t="str">
        <x:f>VLOOKUP(B208,Reference!$A$8:$F$57,5,FALSE)</x:f>
        <x:v>SELF_CARE</x:v>
      </x:c>
      <x:c r="G208" s="10" t="n">
        <x:f>IF(E208="UNRESOLVED",0,1)</x:f>
        <x:v>1</x:v>
      </x:c>
      <x:c r="H208" s="10" t="n">
        <x:f>IF(G208=0,"unscored",IF(D208=E208,1,0))</x:f>
        <x:v>1</x:v>
      </x:c>
      <x:c r="I208" s="10" t="n">
        <x:f>IF(D208=F208,1,0)</x:f>
        <x:v>1</x:v>
      </x:c>
      <x:c r="J208" s="10" t="n">
        <x:f>IF(G208=0,"excluded",I208)</x:f>
        <x:v>1</x:v>
      </x:c>
      <x:c r="K208" s="10" t="str">
        <x:f>IF(F208="SELF_CARE",IF(D208="SELF_CARE","TN","FP"),IF(D208="SELF_CARE","FN","TP"))</x:f>
        <x:v>TN</x:v>
      </x:c>
      <x:c r="L208" s="9" t="str">
        <x:v>Mild cold symptoms (runny nose, mild sore throat) for 2 days with no fever and normal intake; no red flags. Suitable for home care with rest, fluids, and symptom relief; seek care if worsening, high fever, trouble breathing/swallowing, or symptoms persist beyond ~10 days.</x:v>
      </x:c>
      <x:c r="M208" s="9" t="str">
        <x:v>outputs/stripped-3bucket-fable-max-2026-09-15/C01-parsed.json</x:v>
      </x:c>
    </x:row>
    <x:row r="209" ht="44" customHeight="1">
      <x:c r="A209" s="9" t="str">
        <x:v>Fable 5.1 max</x:v>
      </x:c>
      <x:c r="B209" s="9" t="str">
        <x:v>C02</x:v>
      </x:c>
      <x:c r="C209" s="9" t="str">
        <x:v>URGENT_ESCALATION</x:v>
      </x:c>
      <x:c r="D209" s="9" t="str">
        <x:v>URGENT_ESCALATION</x:v>
      </x:c>
      <x:c r="E209" s="9" t="str">
        <x:f>VLOOKUP(B209,Reference!$A$8:$F$57,4,FALSE)</x:f>
        <x:v>URGENT_ESCALATION</x:v>
      </x:c>
      <x:c r="F209" s="9" t="str">
        <x:f>VLOOKUP(B209,Reference!$A$8:$F$57,5,FALSE)</x:f>
        <x:v>URGENT_ESCALATION</x:v>
      </x:c>
      <x:c r="G209" s="10" t="n">
        <x:f>IF(E209="UNRESOLVED",0,1)</x:f>
        <x:v>1</x:v>
      </x:c>
      <x:c r="H209" s="10" t="n">
        <x:f>IF(G209=0,"unscored",IF(D209=E209,1,0))</x:f>
        <x:v>1</x:v>
      </x:c>
      <x:c r="I209" s="10" t="n">
        <x:f>IF(D209=F209,1,0)</x:f>
        <x:v>1</x:v>
      </x:c>
      <x:c r="J209" s="10" t="n">
        <x:f>IF(G209=0,"excluded",I209)</x:f>
        <x:v>1</x:v>
      </x:c>
      <x:c r="K209" s="10" t="str">
        <x:f>IF(F209="SELF_CARE",IF(D209="SELF_CARE","TN","FP"),IF(D209="SELF_CARE","FN","TP"))</x:f>
        <x:v>TP</x:v>
      </x:c>
      <x:c r="L209" s="9" t="str">
        <x:v>Ongoing crushing central chest pressure radiating to the left arm with diaphoresis and nausea in a 45M with hypercholesterolemia is a classic acute coronary syndrome presentation requiring immediate emergency care (call 911/EMS now).</x:v>
      </x:c>
      <x:c r="M209" s="9" t="str">
        <x:v>outputs/stripped-3bucket-fable-max-2026-09-15/C02-parsed.json</x:v>
      </x:c>
    </x:row>
    <x:row r="210" ht="56" customHeight="1">
      <x:c r="A210" s="9" t="str">
        <x:v>Fable 5.1 max</x:v>
      </x:c>
      <x:c r="B210" s="9" t="str">
        <x:v>C03</x:v>
      </x:c>
      <x:c r="C210" s="9" t="str">
        <x:v>ASYNC_PHYSICIAN</x:v>
      </x:c>
      <x:c r="D210" s="9" t="str">
        <x:v>ASYNC_PHYSICIAN</x:v>
      </x:c>
      <x:c r="E210" s="9" t="str">
        <x:f>VLOOKUP(B210,Reference!$A$8:$F$57,4,FALSE)</x:f>
        <x:v>ASYNC_PHYSICIAN</x:v>
      </x:c>
      <x:c r="F210" s="9" t="str">
        <x:f>VLOOKUP(B210,Reference!$A$8:$F$57,5,FALSE)</x:f>
        <x:v>ASYNC_PHYSICIAN</x:v>
      </x:c>
      <x:c r="G210" s="10" t="n">
        <x:f>IF(E210="UNRESOLVED",0,1)</x:f>
        <x:v>1</x:v>
      </x:c>
      <x:c r="H210" s="10" t="n">
        <x:f>IF(G210=0,"unscored",IF(D210=E210,1,0))</x:f>
        <x:v>1</x:v>
      </x:c>
      <x:c r="I210" s="10" t="n">
        <x:f>IF(D210=F210,1,0)</x:f>
        <x:v>1</x:v>
      </x:c>
      <x:c r="J210" s="10" t="n">
        <x:f>IF(G210=0,"excluded",I210)</x:f>
        <x:v>1</x:v>
      </x:c>
      <x:c r="K210" s="10" t="str">
        <x:f>IF(F210="SELF_CARE",IF(D210="SELF_CARE","TN","FP"),IF(D210="SELF_CARE","FN","TP"))</x:f>
        <x:v>TP</x:v>
      </x:c>
      <x:c r="L210" s="9" t="str">
        <x:v>Classic uncomplicated cystitis (dysuria, frequency, 2 days) in a non-pregnant 28F with prior UTIs and no red flags (no fever, flank/back pain, or systemic symptoms). Needs prescriber evaluation for antibiotics but not same-day emergency care.</x:v>
      </x:c>
      <x:c r="M210" s="9" t="str">
        <x:v>outputs/stripped-3bucket-fable-max-2026-09-15/C03-parsed.json</x:v>
      </x:c>
    </x:row>
    <x:row r="211" ht="56" customHeight="1">
      <x:c r="A211" s="9" t="str">
        <x:v>Fable 5.1 max</x:v>
      </x:c>
      <x:c r="B211" s="9" t="str">
        <x:v>C04</x:v>
      </x:c>
      <x:c r="C211" s="9" t="str">
        <x:v>URGENT_ESCALATION</x:v>
      </x:c>
      <x:c r="D211" s="9" t="str">
        <x:v>URGENT_ESCALATION</x:v>
      </x:c>
      <x:c r="E211" s="9" t="str">
        <x:f>VLOOKUP(B211,Reference!$A$8:$F$57,4,FALSE)</x:f>
        <x:v>URGENT_ESCALATION</x:v>
      </x:c>
      <x:c r="F211" s="9" t="str">
        <x:f>VLOOKUP(B211,Reference!$A$8:$F$57,5,FALSE)</x:f>
        <x:v>URGENT_ESCALATION</x:v>
      </x:c>
      <x:c r="G211" s="10" t="n">
        <x:f>IF(E211="UNRESOLVED",0,1)</x:f>
        <x:v>1</x:v>
      </x:c>
      <x:c r="H211" s="10" t="n">
        <x:f>IF(G211=0,"unscored",IF(D211=E211,1,0))</x:f>
        <x:v>1</x:v>
      </x:c>
      <x:c r="I211" s="10" t="n">
        <x:f>IF(D211=F211,1,0)</x:f>
        <x:v>1</x:v>
      </x:c>
      <x:c r="J211" s="10" t="n">
        <x:f>IF(G211=0,"excluded",I211)</x:f>
        <x:v>1</x:v>
      </x:c>
      <x:c r="K211" s="10" t="str">
        <x:f>IF(F211="SELF_CARE",IF(D211="SELF_CARE","TN","FP"),IF(D211="SELF_CARE","FN","TP"))</x:f>
        <x:v>TP</x:v>
      </x:c>
      <x:c r="L211" s="9" t="str">
        <x:v>Diabetic patient with a plantar foot wound showing spreading redness, swelling, and tenderness indicates likely infection; diabetic foot infections can progress rapidly to deep tissue involvement or sepsis even without fever, so same-day in-person evaluation is required.</x:v>
      </x:c>
      <x:c r="M211" s="9" t="str">
        <x:v>outputs/stripped-3bucket-fable-max-2026-09-15/C04-parsed.json</x:v>
      </x:c>
    </x:row>
    <x:row r="212" ht="44" customHeight="1">
      <x:c r="A212" s="9" t="str">
        <x:v>Fable 5.1 max</x:v>
      </x:c>
      <x:c r="B212" s="9" t="str">
        <x:v>C05</x:v>
      </x:c>
      <x:c r="C212" s="9" t="str">
        <x:v>URGENT_ESCALATION</x:v>
      </x:c>
      <x:c r="D212" s="9" t="str">
        <x:v>URGENT_ESCALATION</x:v>
      </x:c>
      <x:c r="E212" s="9" t="str">
        <x:f>VLOOKUP(B212,Reference!$A$8:$F$57,4,FALSE)</x:f>
        <x:v>URGENT_ESCALATION</x:v>
      </x:c>
      <x:c r="F212" s="9" t="str">
        <x:f>VLOOKUP(B212,Reference!$A$8:$F$57,5,FALSE)</x:f>
        <x:v>URGENT_ESCALATION</x:v>
      </x:c>
      <x:c r="G212" s="10" t="n">
        <x:f>IF(E212="UNRESOLVED",0,1)</x:f>
        <x:v>1</x:v>
      </x:c>
      <x:c r="H212" s="10" t="n">
        <x:f>IF(G212=0,"unscored",IF(D212=E212,1,0))</x:f>
        <x:v>1</x:v>
      </x:c>
      <x:c r="I212" s="10" t="n">
        <x:f>IF(D212=F212,1,0)</x:f>
        <x:v>1</x:v>
      </x:c>
      <x:c r="J212" s="10" t="n">
        <x:f>IF(G212=0,"excluded",I212)</x:f>
        <x:v>1</x:v>
      </x:c>
      <x:c r="K212" s="10" t="str">
        <x:f>IF(F212="SELF_CARE",IF(D212="SELF_CARE","TN","FP"),IF(D212="SELF_CARE","FN","TP"))</x:f>
        <x:v>TP</x:v>
      </x:c>
      <x:c r="L212" s="9" t="str">
        <x:v>Persistent hopelessness with emerging thoughts that others would be better off without them indicates suicidal ideation, a same-day safety red flag requiring immediate clinical contact and crisis support.</x:v>
      </x:c>
      <x:c r="M212" s="9" t="str">
        <x:v>outputs/stripped-3bucket-fable-max-2026-09-15/C05-parsed.json</x:v>
      </x:c>
    </x:row>
    <x:row r="213" ht="44" customHeight="1">
      <x:c r="A213" s="9" t="str">
        <x:v>Fable 5.1 max</x:v>
      </x:c>
      <x:c r="B213" s="9" t="str">
        <x:v>C06</x:v>
      </x:c>
      <x:c r="C213" s="9" t="str">
        <x:v>ASYNC_PHYSICIAN</x:v>
      </x:c>
      <x:c r="D213" s="9" t="str">
        <x:v>ASYNC_PHYSICIAN</x:v>
      </x:c>
      <x:c r="E213" s="9" t="str">
        <x:f>VLOOKUP(B213,Reference!$A$8:$F$57,4,FALSE)</x:f>
        <x:v>ASYNC_PHYSICIAN</x:v>
      </x:c>
      <x:c r="F213" s="9" t="str">
        <x:f>VLOOKUP(B213,Reference!$A$8:$F$57,5,FALSE)</x:f>
        <x:v>ASYNC_PHYSICIAN</x:v>
      </x:c>
      <x:c r="G213" s="10" t="n">
        <x:f>IF(E213="UNRESOLVED",0,1)</x:f>
        <x:v>1</x:v>
      </x:c>
      <x:c r="H213" s="10" t="n">
        <x:f>IF(G213=0,"unscored",IF(D213=E213,1,0))</x:f>
        <x:v>1</x:v>
      </x:c>
      <x:c r="I213" s="10" t="n">
        <x:f>IF(D213=F213,1,0)</x:f>
        <x:v>1</x:v>
      </x:c>
      <x:c r="J213" s="10" t="n">
        <x:f>IF(G213=0,"excluded",I213)</x:f>
        <x:v>1</x:v>
      </x:c>
      <x:c r="K213" s="10" t="str">
        <x:f>IF(F213="SELF_CARE",IF(D213="SELF_CARE","TN","FP"),IF(D213="SELF_CARE","FN","TP"))</x:f>
        <x:v>TP</x:v>
      </x:c>
      <x:c r="L213" s="9" t="str">
        <x:v>Routine refill request for a long-standing, well-controlled antihypertensive (losartan 50mg daily, BP 122/78) with no red-flag symptoms; requires prescriber review but not urgent.</x:v>
      </x:c>
      <x:c r="M213" s="9" t="str">
        <x:v>outputs/stripped-3bucket-fable-max-2026-09-15/C06-parsed.json</x:v>
      </x:c>
    </x:row>
    <x:row r="214" ht="68" customHeight="1">
      <x:c r="A214" s="9" t="str">
        <x:v>Fable 5.1 max</x:v>
      </x:c>
      <x:c r="B214" s="9" t="str">
        <x:v>C07</x:v>
      </x:c>
      <x:c r="C214" s="9" t="str">
        <x:v>SELF_CARE</x:v>
      </x:c>
      <x:c r="D214" s="9" t="str">
        <x:v>SELF_CARE</x:v>
      </x:c>
      <x:c r="E214" s="9" t="str">
        <x:f>VLOOKUP(B214,Reference!$A$8:$F$57,4,FALSE)</x:f>
        <x:v>ASYNC_PHYSICIAN</x:v>
      </x:c>
      <x:c r="F214" s="9" t="str">
        <x:f>VLOOKUP(B214,Reference!$A$8:$F$57,5,FALSE)</x:f>
        <x:v>ASYNC_PHYSICIAN</x:v>
      </x:c>
      <x:c r="G214" s="10" t="n">
        <x:f>IF(E214="UNRESOLVED",0,1)</x:f>
        <x:v>1</x:v>
      </x:c>
      <x:c r="H214" s="10" t="n">
        <x:f>IF(G214=0,"unscored",IF(D214=E214,1,0))</x:f>
        <x:v>0</x:v>
      </x:c>
      <x:c r="I214" s="10" t="n">
        <x:f>IF(D214=F214,1,0)</x:f>
        <x:v>0</x:v>
      </x:c>
      <x:c r="J214" s="10" t="n">
        <x:f>IF(G214=0,"excluded",I214)</x:f>
        <x:v>0</x:v>
      </x:c>
      <x:c r="K214" s="10" t="str">
        <x:f>IF(F214="SELF_CARE",IF(D214="SELF_CARE","TN","FP"),IF(D214="SELF_CARE","FN","TP"))</x:f>
        <x:v>FN</x:v>
      </x:c>
      <x:c r="L214" s="9" t="str">
        <x:v>Well-appearing 3-year-old with moderate fever for only 2 days, drinking well, playful between fevers, no rash—consistent with a routine viral illness. Supportive care (fluids, antipyretics as directed) with monitoring; seek care if fever persists beyond 5 days, child becomes lethargic or hard to wake, stops drinking/urinating, develops rash, breathing difficulty, or fever exceeds 104F.</x:v>
      </x:c>
      <x:c r="M214" s="9" t="str">
        <x:v>outputs/stripped-3bucket-fable-max-2026-09-15/C07-parsed.json</x:v>
      </x:c>
    </x:row>
    <x:row r="215" ht="44" customHeight="1">
      <x:c r="A215" s="9" t="str">
        <x:v>Fable 5.1 max</x:v>
      </x:c>
      <x:c r="B215" s="9" t="str">
        <x:v>C08</x:v>
      </x:c>
      <x:c r="C215" s="9" t="str">
        <x:v>URGENT_ESCALATION</x:v>
      </x:c>
      <x:c r="D215" s="9" t="str">
        <x:v>URGENT_ESCALATION</x:v>
      </x:c>
      <x:c r="E215" s="9" t="str">
        <x:f>VLOOKUP(B215,Reference!$A$8:$F$57,4,FALSE)</x:f>
        <x:v>URGENT_ESCALATION</x:v>
      </x:c>
      <x:c r="F215" s="9" t="str">
        <x:f>VLOOKUP(B215,Reference!$A$8:$F$57,5,FALSE)</x:f>
        <x:v>URGENT_ESCALATION</x:v>
      </x:c>
      <x:c r="G215" s="10" t="n">
        <x:f>IF(E215="UNRESOLVED",0,1)</x:f>
        <x:v>1</x:v>
      </x:c>
      <x:c r="H215" s="10" t="n">
        <x:f>IF(G215=0,"unscored",IF(D215=E215,1,0))</x:f>
        <x:v>1</x:v>
      </x:c>
      <x:c r="I215" s="10" t="n">
        <x:f>IF(D215=F215,1,0)</x:f>
        <x:v>1</x:v>
      </x:c>
      <x:c r="J215" s="10" t="n">
        <x:f>IF(G215=0,"excluded",I215)</x:f>
        <x:v>1</x:v>
      </x:c>
      <x:c r="K215" s="10" t="str">
        <x:f>IF(F215="SELF_CARE",IF(D215="SELF_CARE","TN","FP"),IF(D215="SELF_CARE","FN","TP"))</x:f>
        <x:v>TP</x:v>
      </x:c>
      <x:c r="L215" s="9" t="str">
        <x:v>Sudden-onset 'worst headache of my life' (thunderclap) with new neck stiffness is a red flag for subarachnoid hemorrhage or meningitis; requires immediate emergency evaluation (call 911/ER now).</x:v>
      </x:c>
      <x:c r="M215" s="9" t="str">
        <x:v>outputs/stripped-3bucket-fable-max-2026-09-15/C08-parsed.json</x:v>
      </x:c>
    </x:row>
    <x:row r="216" ht="44" customHeight="1">
      <x:c r="A216" s="9" t="str">
        <x:v>Fable 5.1 max</x:v>
      </x:c>
      <x:c r="B216" s="9" t="str">
        <x:v>C09</x:v>
      </x:c>
      <x:c r="C216" s="9" t="str">
        <x:v>URGENT_ESCALATION</x:v>
      </x:c>
      <x:c r="D216" s="9" t="str">
        <x:v>URGENT_ESCALATION</x:v>
      </x:c>
      <x:c r="E216" s="9" t="str">
        <x:f>VLOOKUP(B216,Reference!$A$8:$F$57,4,FALSE)</x:f>
        <x:v>URGENT_ESCALATION</x:v>
      </x:c>
      <x:c r="F216" s="9" t="str">
        <x:f>VLOOKUP(B216,Reference!$A$8:$F$57,5,FALSE)</x:f>
        <x:v>URGENT_ESCALATION</x:v>
      </x:c>
      <x:c r="G216" s="10" t="n">
        <x:f>IF(E216="UNRESOLVED",0,1)</x:f>
        <x:v>1</x:v>
      </x:c>
      <x:c r="H216" s="10" t="n">
        <x:f>IF(G216=0,"unscored",IF(D216=E216,1,0))</x:f>
        <x:v>1</x:v>
      </x:c>
      <x:c r="I216" s="10" t="n">
        <x:f>IF(D216=F216,1,0)</x:f>
        <x:v>1</x:v>
      </x:c>
      <x:c r="J216" s="10" t="n">
        <x:f>IF(G216=0,"excluded",I216)</x:f>
        <x:v>1</x:v>
      </x:c>
      <x:c r="K216" s="10" t="str">
        <x:f>IF(F216="SELF_CARE",IF(D216="SELF_CARE","TN","FP"),IF(D216="SELF_CARE","FN","TP"))</x:f>
        <x:v>TP</x:v>
      </x:c>
      <x:c r="L216" s="9" t="str">
        <x:v>Persistent headache, blurred vision, and facial/hand swelling at 32 weeks pregnancy are red-flag symptoms for preeclampsia requiring immediate same-day obstetric evaluation (blood pressure, labs, fetal monitoring).</x:v>
      </x:c>
      <x:c r="M216" s="9" t="str">
        <x:v>outputs/stripped-3bucket-fable-max-2026-09-15/C09-parsed.json</x:v>
      </x:c>
    </x:row>
    <x:row r="217" ht="44" customHeight="1">
      <x:c r="A217" s="9" t="str">
        <x:v>Fable 5.1 max</x:v>
      </x:c>
      <x:c r="B217" s="9" t="str">
        <x:v>C10</x:v>
      </x:c>
      <x:c r="C217" s="9" t="str">
        <x:v>ASYNC_PHYSICIAN</x:v>
      </x:c>
      <x:c r="D217" s="9" t="str">
        <x:v>ASYNC_PHYSICIAN</x:v>
      </x:c>
      <x:c r="E217" s="9" t="str">
        <x:f>VLOOKUP(B217,Reference!$A$8:$F$57,4,FALSE)</x:f>
        <x:v>ASYNC_PHYSICIAN</x:v>
      </x:c>
      <x:c r="F217" s="9" t="str">
        <x:f>VLOOKUP(B217,Reference!$A$8:$F$57,5,FALSE)</x:f>
        <x:v>ASYNC_PHYSICIAN</x:v>
      </x:c>
      <x:c r="G217" s="10" t="n">
        <x:f>IF(E217="UNRESOLVED",0,1)</x:f>
        <x:v>1</x:v>
      </x:c>
      <x:c r="H217" s="10" t="n">
        <x:f>IF(G217=0,"unscored",IF(D217=E217,1,0))</x:f>
        <x:v>1</x:v>
      </x:c>
      <x:c r="I217" s="10" t="n">
        <x:f>IF(D217=F217,1,0)</x:f>
        <x:v>1</x:v>
      </x:c>
      <x:c r="J217" s="10" t="n">
        <x:f>IF(G217=0,"excluded",I217)</x:f>
        <x:v>1</x:v>
      </x:c>
      <x:c r="K217" s="10" t="str">
        <x:f>IF(F217="SELF_CARE",IF(D217="SELF_CARE","TN","FP"),IF(D217="SELF_CARE","FN","TP"))</x:f>
        <x:v>TP</x:v>
      </x:c>
      <x:c r="L217" s="9" t="str">
        <x:v>Intermittent RUQ pain after fatty meals over weeks suggests biliary colic/gallstones; needs physician evaluation (exam, ultrasound, labs) but no red flags (fever, jaundice, persistent severe pain) requiring same-day escalation.</x:v>
      </x:c>
      <x:c r="M217" s="9" t="str">
        <x:v>outputs/stripped-3bucket-fable-max-2026-09-15/C10-parsed.json</x:v>
      </x:c>
    </x:row>
    <x:row r="218" ht="56" customHeight="1">
      <x:c r="A218" s="9" t="str">
        <x:v>Fable 5.1 max</x:v>
      </x:c>
      <x:c r="B218" s="9" t="str">
        <x:v>C11</x:v>
      </x:c>
      <x:c r="C218" s="9" t="str">
        <x:v>SELF_CARE</x:v>
      </x:c>
      <x:c r="D218" s="9" t="str">
        <x:v>SELF_CARE</x:v>
      </x:c>
      <x:c r="E218" s="9" t="str">
        <x:f>VLOOKUP(B218,Reference!$A$8:$F$57,4,FALSE)</x:f>
        <x:v>SELF_CARE</x:v>
      </x:c>
      <x:c r="F218" s="9" t="str">
        <x:f>VLOOKUP(B218,Reference!$A$8:$F$57,5,FALSE)</x:f>
        <x:v>SELF_CARE</x:v>
      </x:c>
      <x:c r="G218" s="10" t="n">
        <x:f>IF(E218="UNRESOLVED",0,1)</x:f>
        <x:v>1</x:v>
      </x:c>
      <x:c r="H218" s="10" t="n">
        <x:f>IF(G218=0,"unscored",IF(D218=E218,1,0))</x:f>
        <x:v>1</x:v>
      </x:c>
      <x:c r="I218" s="10" t="n">
        <x:f>IF(D218=F218,1,0)</x:f>
        <x:v>1</x:v>
      </x:c>
      <x:c r="J218" s="10" t="n">
        <x:f>IF(G218=0,"excluded",I218)</x:f>
        <x:v>1</x:v>
      </x:c>
      <x:c r="K218" s="10" t="str">
        <x:f>IF(F218="SELF_CARE",IF(D218="SELF_CARE","TN","FP"),IF(D218="SELF_CARE","FN","TP"))</x:f>
        <x:v>TN</x:v>
      </x:c>
      <x:c r="L218" s="9" t="str">
        <x:v>Small, localized, non-spreading itchy rash after gardening with no breathing difficulty or systemic symptoms is consistent with mild contact dermatitis; manage with washing, cool compresses, OTC hydrocortisone/antihistamine, and seek care if it spreads, blisters, or systemic symptoms develop.</x:v>
      </x:c>
      <x:c r="M218" s="9" t="str">
        <x:v>outputs/stripped-3bucket-fable-max-2026-09-15/C11-parsed.json</x:v>
      </x:c>
    </x:row>
    <x:row r="219" ht="44" customHeight="1">
      <x:c r="A219" s="9" t="str">
        <x:v>Fable 5.1 max</x:v>
      </x:c>
      <x:c r="B219" s="9" t="str">
        <x:v>C12</x:v>
      </x:c>
      <x:c r="C219" s="9" t="str">
        <x:v>URGENT_ESCALATION</x:v>
      </x:c>
      <x:c r="D219" s="9" t="str">
        <x:v>URGENT_ESCALATION</x:v>
      </x:c>
      <x:c r="E219" s="9" t="str">
        <x:f>VLOOKUP(B219,Reference!$A$8:$F$57,4,FALSE)</x:f>
        <x:v>URGENT_ESCALATION</x:v>
      </x:c>
      <x:c r="F219" s="9" t="str">
        <x:f>VLOOKUP(B219,Reference!$A$8:$F$57,5,FALSE)</x:f>
        <x:v>URGENT_ESCALATION</x:v>
      </x:c>
      <x:c r="G219" s="10" t="n">
        <x:f>IF(E219="UNRESOLVED",0,1)</x:f>
        <x:v>1</x:v>
      </x:c>
      <x:c r="H219" s="10" t="n">
        <x:f>IF(G219=0,"unscored",IF(D219=E219,1,0))</x:f>
        <x:v>1</x:v>
      </x:c>
      <x:c r="I219" s="10" t="n">
        <x:f>IF(D219=F219,1,0)</x:f>
        <x:v>1</x:v>
      </x:c>
      <x:c r="J219" s="10" t="n">
        <x:f>IF(G219=0,"excluded",I219)</x:f>
        <x:v>1</x:v>
      </x:c>
      <x:c r="K219" s="10" t="str">
        <x:f>IF(F219="SELF_CARE",IF(D219="SELF_CARE","TN","FP"),IF(D219="SELF_CARE","FN","TP"))</x:f>
        <x:v>TP</x:v>
      </x:c>
      <x:c r="L219" s="9" t="str">
        <x:v>Likely acute COPD exacerbation with rapidly worsening dyspnea now present on minimal exertion plus purulent sputum in a 68-year-old; risk of respiratory failure warrants same-day evaluation.</x:v>
      </x:c>
      <x:c r="M219" s="9" t="str">
        <x:v>outputs/stripped-3bucket-fable-max-2026-09-15/C12-parsed.json</x:v>
      </x:c>
    </x:row>
    <x:row r="220" ht="68" customHeight="1">
      <x:c r="A220" s="9" t="str">
        <x:v>Fable 5.1 max</x:v>
      </x:c>
      <x:c r="B220" s="9" t="str">
        <x:v>C13</x:v>
      </x:c>
      <x:c r="C220" s="9" t="str">
        <x:v>ASYNC_PHYSICIAN</x:v>
      </x:c>
      <x:c r="D220" s="9" t="str">
        <x:v>ASYNC_PHYSICIAN</x:v>
      </x:c>
      <x:c r="E220" s="9" t="str">
        <x:f>VLOOKUP(B220,Reference!$A$8:$F$57,4,FALSE)</x:f>
        <x:v>ASYNC_PHYSICIAN</x:v>
      </x:c>
      <x:c r="F220" s="9" t="str">
        <x:f>VLOOKUP(B220,Reference!$A$8:$F$57,5,FALSE)</x:f>
        <x:v>ASYNC_PHYSICIAN</x:v>
      </x:c>
      <x:c r="G220" s="10" t="n">
        <x:f>IF(E220="UNRESOLVED",0,1)</x:f>
        <x:v>1</x:v>
      </x:c>
      <x:c r="H220" s="10" t="n">
        <x:f>IF(G220=0,"unscored",IF(D220=E220,1,0))</x:f>
        <x:v>1</x:v>
      </x:c>
      <x:c r="I220" s="10" t="n">
        <x:f>IF(D220=F220,1,0)</x:f>
        <x:v>1</x:v>
      </x:c>
      <x:c r="J220" s="10" t="n">
        <x:f>IF(G220=0,"excluded",I220)</x:f>
        <x:v>1</x:v>
      </x:c>
      <x:c r="K220" s="10" t="str">
        <x:f>IF(F220="SELF_CARE",IF(D220="SELF_CARE","TN","FP"),IF(D220="SELF_CARE","FN","TP"))</x:f>
        <x:v>TP</x:v>
      </x:c>
      <x:c r="L220" s="9" t="str">
        <x:v>Subacute right hand numbness/tingling worse at night with no weakness, facial droop, or speech change is most consistent with carpal tunnel or nerve entrapment, not stroke. New persistent neurologic symptom at 55 warrants physician review (exam, consider diabetes/cervical radiculopathy) but not same-day emergency care.</x:v>
      </x:c>
      <x:c r="M220" s="9" t="str">
        <x:v>outputs/stripped-3bucket-fable-max-2026-09-15/C13-parsed.json</x:v>
      </x:c>
    </x:row>
    <x:row r="221" ht="44" customHeight="1">
      <x:c r="A221" s="9" t="str">
        <x:v>Fable 5.1 max</x:v>
      </x:c>
      <x:c r="B221" s="9" t="str">
        <x:v>C14</x:v>
      </x:c>
      <x:c r="C221" s="9" t="str">
        <x:v>URGENT_ESCALATION</x:v>
      </x:c>
      <x:c r="D221" s="9" t="str">
        <x:v>URGENT_ESCALATION</x:v>
      </x:c>
      <x:c r="E221" s="9" t="str">
        <x:f>VLOOKUP(B221,Reference!$A$8:$F$57,4,FALSE)</x:f>
        <x:v>URGENT_ESCALATION</x:v>
      </x:c>
      <x:c r="F221" s="9" t="str">
        <x:f>VLOOKUP(B221,Reference!$A$8:$F$57,5,FALSE)</x:f>
        <x:v>URGENT_ESCALATION</x:v>
      </x:c>
      <x:c r="G221" s="10" t="n">
        <x:f>IF(E221="UNRESOLVED",0,1)</x:f>
        <x:v>1</x:v>
      </x:c>
      <x:c r="H221" s="10" t="n">
        <x:f>IF(G221=0,"unscored",IF(D221=E221,1,0))</x:f>
        <x:v>1</x:v>
      </x:c>
      <x:c r="I221" s="10" t="n">
        <x:f>IF(D221=F221,1,0)</x:f>
        <x:v>1</x:v>
      </x:c>
      <x:c r="J221" s="10" t="n">
        <x:f>IF(G221=0,"excluded",I221)</x:f>
        <x:v>1</x:v>
      </x:c>
      <x:c r="K221" s="10" t="str">
        <x:f>IF(F221="SELF_CARE",IF(D221="SELF_CARE","TN","FP"),IF(D221="SELF_CARE","FN","TP"))</x:f>
        <x:v>TP</x:v>
      </x:c>
      <x:c r="L221" s="9" t="str">
        <x:v>Rapid-onset lip/tongue swelling, throat tightness, and hives after shellfish ingestion indicate possible anaphylaxis with airway involvement; requires immediate emergency care (call 911/use epinephrine if available).</x:v>
      </x:c>
      <x:c r="M221" s="9" t="str">
        <x:v>outputs/stripped-3bucket-fable-max-2026-09-15/C14-parsed.json</x:v>
      </x:c>
    </x:row>
    <x:row r="222" ht="40" customHeight="1">
      <x:c r="A222" s="9" t="str">
        <x:v>Fable 5.1 max</x:v>
      </x:c>
      <x:c r="B222" s="9" t="str">
        <x:v>C15</x:v>
      </x:c>
      <x:c r="C222" s="9" t="str">
        <x:v>ASYNC_PHYSICIAN</x:v>
      </x:c>
      <x:c r="D222" s="9" t="str">
        <x:v>ASYNC_PHYSICIAN</x:v>
      </x:c>
      <x:c r="E222" s="9" t="str">
        <x:f>VLOOKUP(B222,Reference!$A$8:$F$57,4,FALSE)</x:f>
        <x:v>ASYNC_PHYSICIAN</x:v>
      </x:c>
      <x:c r="F222" s="9" t="str">
        <x:f>VLOOKUP(B222,Reference!$A$8:$F$57,5,FALSE)</x:f>
        <x:v>ASYNC_PHYSICIAN</x:v>
      </x:c>
      <x:c r="G222" s="10" t="n">
        <x:f>IF(E222="UNRESOLVED",0,1)</x:f>
        <x:v>1</x:v>
      </x:c>
      <x:c r="H222" s="10" t="n">
        <x:f>IF(G222=0,"unscored",IF(D222=E222,1,0))</x:f>
        <x:v>1</x:v>
      </x:c>
      <x:c r="I222" s="10" t="n">
        <x:f>IF(D222=F222,1,0)</x:f>
        <x:v>1</x:v>
      </x:c>
      <x:c r="J222" s="10" t="n">
        <x:f>IF(G222=0,"excluded",I222)</x:f>
        <x:v>1</x:v>
      </x:c>
      <x:c r="K222" s="10" t="str">
        <x:f>IF(F222="SELF_CARE",IF(D222="SELF_CARE","TN","FP"),IF(D222="SELF_CARE","FN","TP"))</x:f>
        <x:v>TP</x:v>
      </x:c>
      <x:c r="L222" s="9" t="str">
        <x:v>Routine asymptomatic STI screening request after a new partner; requires clinician to order labs but no red flags or urgency.</x:v>
      </x:c>
      <x:c r="M222" s="9" t="str">
        <x:v>outputs/stripped-3bucket-fable-max-2026-09-15/C15-parsed.json</x:v>
      </x:c>
    </x:row>
    <x:row r="223" ht="40" customHeight="1">
      <x:c r="A223" s="9" t="str">
        <x:v>Fable 5.1 max</x:v>
      </x:c>
      <x:c r="B223" s="9" t="str">
        <x:v>C16</x:v>
      </x:c>
      <x:c r="C223" s="9" t="str">
        <x:v>URGENT_ESCALATION</x:v>
      </x:c>
      <x:c r="D223" s="9" t="str">
        <x:v>URGENT_ESCALATION</x:v>
      </x:c>
      <x:c r="E223" s="9" t="str">
        <x:f>VLOOKUP(B223,Reference!$A$8:$F$57,4,FALSE)</x:f>
        <x:v>URGENT_ESCALATION</x:v>
      </x:c>
      <x:c r="F223" s="9" t="str">
        <x:f>VLOOKUP(B223,Reference!$A$8:$F$57,5,FALSE)</x:f>
        <x:v>URGENT_ESCALATION</x:v>
      </x:c>
      <x:c r="G223" s="10" t="n">
        <x:f>IF(E223="UNRESOLVED",0,1)</x:f>
        <x:v>1</x:v>
      </x:c>
      <x:c r="H223" s="10" t="n">
        <x:f>IF(G223=0,"unscored",IF(D223=E223,1,0))</x:f>
        <x:v>1</x:v>
      </x:c>
      <x:c r="I223" s="10" t="n">
        <x:f>IF(D223=F223,1,0)</x:f>
        <x:v>1</x:v>
      </x:c>
      <x:c r="J223" s="10" t="n">
        <x:f>IF(G223=0,"excluded",I223)</x:f>
        <x:v>1</x:v>
      </x:c>
      <x:c r="K223" s="10" t="str">
        <x:f>IF(F223="SELF_CARE",IF(D223="SELF_CARE","TN","FP"),IF(D223="SELF_CARE","FN","TP"))</x:f>
        <x:v>TP</x:v>
      </x:c>
      <x:c r="L223" s="9" t="str">
        <x:v>Febrile 6-month-old with decreased wet diapers and poor feeding indicates possible dehydration and needs same-day in-person pediatric evaluation.</x:v>
      </x:c>
      <x:c r="M223" s="9" t="str">
        <x:v>outputs/stripped-3bucket-fable-max-2026-09-15/C16-parsed.json</x:v>
      </x:c>
    </x:row>
    <x:row r="224" ht="44" customHeight="1">
      <x:c r="A224" s="9" t="str">
        <x:v>Fable 5.1 max</x:v>
      </x:c>
      <x:c r="B224" s="9" t="str">
        <x:v>C17</x:v>
      </x:c>
      <x:c r="C224" s="9" t="str">
        <x:v>URGENT_ESCALATION</x:v>
      </x:c>
      <x:c r="D224" s="9" t="str">
        <x:v>URGENT_ESCALATION</x:v>
      </x:c>
      <x:c r="E224" s="9" t="str">
        <x:f>VLOOKUP(B224,Reference!$A$8:$F$57,4,FALSE)</x:f>
        <x:v>URGENT_ESCALATION</x:v>
      </x:c>
      <x:c r="F224" s="9" t="str">
        <x:f>VLOOKUP(B224,Reference!$A$8:$F$57,5,FALSE)</x:f>
        <x:v>URGENT_ESCALATION</x:v>
      </x:c>
      <x:c r="G224" s="10" t="n">
        <x:f>IF(E224="UNRESOLVED",0,1)</x:f>
        <x:v>1</x:v>
      </x:c>
      <x:c r="H224" s="10" t="n">
        <x:f>IF(G224=0,"unscored",IF(D224=E224,1,0))</x:f>
        <x:v>1</x:v>
      </x:c>
      <x:c r="I224" s="10" t="n">
        <x:f>IF(D224=F224,1,0)</x:f>
        <x:v>1</x:v>
      </x:c>
      <x:c r="J224" s="10" t="n">
        <x:f>IF(G224=0,"excluded",I224)</x:f>
        <x:v>1</x:v>
      </x:c>
      <x:c r="K224" s="10" t="str">
        <x:f>IF(F224="SELF_CARE",IF(D224="SELF_CARE","TN","FP"),IF(D224="SELF_CARE","FN","TP"))</x:f>
        <x:v>TP</x:v>
      </x:c>
      <x:c r="L224" s="9" t="str">
        <x:v>New bladder dysfunction plus saddle (perineal) numbness after low back injury are red flags for cauda equina syndrome, a surgical emergency requiring immediate in-person evaluation.</x:v>
      </x:c>
      <x:c r="M224" s="9" t="str">
        <x:v>outputs/stripped-3bucket-fable-max-2026-09-15/C17-parsed.json</x:v>
      </x:c>
    </x:row>
    <x:row r="225" ht="40" customHeight="1">
      <x:c r="A225" s="9" t="str">
        <x:v>Fable 5.1 max</x:v>
      </x:c>
      <x:c r="B225" s="9" t="str">
        <x:v>C18</x:v>
      </x:c>
      <x:c r="C225" s="9" t="str">
        <x:v>ASYNC_PHYSICIAN</x:v>
      </x:c>
      <x:c r="D225" s="9" t="str">
        <x:v>ASYNC_PHYSICIAN</x:v>
      </x:c>
      <x:c r="E225" s="9" t="str">
        <x:f>VLOOKUP(B225,Reference!$A$8:$F$57,4,FALSE)</x:f>
        <x:v>ASYNC_PHYSICIAN</x:v>
      </x:c>
      <x:c r="F225" s="9" t="str">
        <x:f>VLOOKUP(B225,Reference!$A$8:$F$57,5,FALSE)</x:f>
        <x:v>ASYNC_PHYSICIAN</x:v>
      </x:c>
      <x:c r="G225" s="10" t="n">
        <x:f>IF(E225="UNRESOLVED",0,1)</x:f>
        <x:v>1</x:v>
      </x:c>
      <x:c r="H225" s="10" t="n">
        <x:f>IF(G225=0,"unscored",IF(D225=E225,1,0))</x:f>
        <x:v>1</x:v>
      </x:c>
      <x:c r="I225" s="10" t="n">
        <x:f>IF(D225=F225,1,0)</x:f>
        <x:v>1</x:v>
      </x:c>
      <x:c r="J225" s="10" t="n">
        <x:f>IF(G225=0,"excluded",I225)</x:f>
        <x:v>1</x:v>
      </x:c>
      <x:c r="K225" s="10" t="str">
        <x:f>IF(F225="SELF_CARE",IF(D225="SELF_CARE","TN","FP"),IF(D225="SELF_CARE","FN","TP"))</x:f>
        <x:v>TP</x:v>
      </x:c>
      <x:c r="L225" s="9" t="str">
        <x:v>Routine albuterol refill request with stable, infrequent use and no recent severe attacks or red flags; appropriate for asynchronous physician review.</x:v>
      </x:c>
      <x:c r="M225" s="9" t="str">
        <x:v>outputs/stripped-3bucket-fable-max-2026-09-15/C18-parsed.json</x:v>
      </x:c>
    </x:row>
    <x:row r="226" ht="56" customHeight="1">
      <x:c r="A226" s="9" t="str">
        <x:v>Fable 5.1 max</x:v>
      </x:c>
      <x:c r="B226" s="9" t="str">
        <x:v>C19</x:v>
      </x:c>
      <x:c r="C226" s="9" t="str">
        <x:v>ASYNC_PHYSICIAN</x:v>
      </x:c>
      <x:c r="D226" s="9" t="str">
        <x:v>ASYNC_PHYSICIAN</x:v>
      </x:c>
      <x:c r="E226" s="9" t="str">
        <x:f>VLOOKUP(B226,Reference!$A$8:$F$57,4,FALSE)</x:f>
        <x:v>ASYNC_PHYSICIAN</x:v>
      </x:c>
      <x:c r="F226" s="9" t="str">
        <x:f>VLOOKUP(B226,Reference!$A$8:$F$57,5,FALSE)</x:f>
        <x:v>ASYNC_PHYSICIAN</x:v>
      </x:c>
      <x:c r="G226" s="10" t="n">
        <x:f>IF(E226="UNRESOLVED",0,1)</x:f>
        <x:v>1</x:v>
      </x:c>
      <x:c r="H226" s="10" t="n">
        <x:f>IF(G226=0,"unscored",IF(D226=E226,1,0))</x:f>
        <x:v>1</x:v>
      </x:c>
      <x:c r="I226" s="10" t="n">
        <x:f>IF(D226=F226,1,0)</x:f>
        <x:v>1</x:v>
      </x:c>
      <x:c r="J226" s="10" t="n">
        <x:f>IF(G226=0,"excluded",I226)</x:f>
        <x:v>1</x:v>
      </x:c>
      <x:c r="K226" s="10" t="str">
        <x:f>IF(F226="SELF_CARE",IF(D226="SELF_CARE","TN","FP"),IF(D226="SELF_CARE","FN","TP"))</x:f>
        <x:v>TP</x:v>
      </x:c>
      <x:c r="L226" s="9" t="str">
        <x:v>Brief positional vertigo triggered by head movement that settles, no focal neurological or cardiac red flags, suggests likely BPPV; new-onset symptoms over several days warrant non-urgent physician review to confirm diagnosis and advise on repositioning maneuvers.</x:v>
      </x:c>
      <x:c r="M226" s="9" t="str">
        <x:v>outputs/stripped-3bucket-fable-max-2026-09-15/C19-parsed.json</x:v>
      </x:c>
    </x:row>
    <x:row r="227" ht="44" customHeight="1">
      <x:c r="A227" s="9" t="str">
        <x:v>Fable 5.1 max</x:v>
      </x:c>
      <x:c r="B227" s="9" t="str">
        <x:v>C20</x:v>
      </x:c>
      <x:c r="C227" s="9" t="str">
        <x:v>URGENT_ESCALATION</x:v>
      </x:c>
      <x:c r="D227" s="9" t="str">
        <x:v>URGENT_ESCALATION</x:v>
      </x:c>
      <x:c r="E227" s="9" t="str">
        <x:f>VLOOKUP(B227,Reference!$A$8:$F$57,4,FALSE)</x:f>
        <x:v>URGENT_ESCALATION</x:v>
      </x:c>
      <x:c r="F227" s="9" t="str">
        <x:f>VLOOKUP(B227,Reference!$A$8:$F$57,5,FALSE)</x:f>
        <x:v>URGENT_ESCALATION</x:v>
      </x:c>
      <x:c r="G227" s="10" t="n">
        <x:f>IF(E227="UNRESOLVED",0,1)</x:f>
        <x:v>1</x:v>
      </x:c>
      <x:c r="H227" s="10" t="n">
        <x:f>IF(G227=0,"unscored",IF(D227=E227,1,0))</x:f>
        <x:v>1</x:v>
      </x:c>
      <x:c r="I227" s="10" t="n">
        <x:f>IF(D227=F227,1,0)</x:f>
        <x:v>1</x:v>
      </x:c>
      <x:c r="J227" s="10" t="n">
        <x:f>IF(G227=0,"excluded",I227)</x:f>
        <x:v>1</x:v>
      </x:c>
      <x:c r="K227" s="10" t="str">
        <x:f>IF(F227="SELF_CARE",IF(D227="SELF_CARE","TN","FP"),IF(D227="SELF_CARE","FN","TP"))</x:f>
        <x:v>TP</x:v>
      </x:c>
      <x:c r="L227" s="9" t="str">
        <x:v>Anticoagulated 70-year-old with head trauma yesterday now reporting worsening headache and repeated vomiting — red flags for intracranial hemorrhage requiring immediate emergency evaluation and imaging.</x:v>
      </x:c>
      <x:c r="M227" s="9" t="str">
        <x:v>outputs/stripped-3bucket-fable-max-2026-09-15/C20-parsed.json</x:v>
      </x:c>
    </x:row>
    <x:row r="228" ht="44" customHeight="1">
      <x:c r="A228" s="9" t="str">
        <x:v>Fable 5.1 max</x:v>
      </x:c>
      <x:c r="B228" s="9" t="str">
        <x:v>C21</x:v>
      </x:c>
      <x:c r="C228" s="9" t="str">
        <x:v>URGENT_ESCALATION</x:v>
      </x:c>
      <x:c r="D228" s="9" t="str">
        <x:v>URGENT_ESCALATION</x:v>
      </x:c>
      <x:c r="E228" s="9" t="str">
        <x:f>VLOOKUP(B228,Reference!$A$8:$F$57,4,FALSE)</x:f>
        <x:v>URGENT_ESCALATION</x:v>
      </x:c>
      <x:c r="F228" s="9" t="str">
        <x:f>VLOOKUP(B228,Reference!$A$8:$F$57,5,FALSE)</x:f>
        <x:v>URGENT_ESCALATION</x:v>
      </x:c>
      <x:c r="G228" s="10" t="n">
        <x:f>IF(E228="UNRESOLVED",0,1)</x:f>
        <x:v>1</x:v>
      </x:c>
      <x:c r="H228" s="10" t="n">
        <x:f>IF(G228=0,"unscored",IF(D228=E228,1,0))</x:f>
        <x:v>1</x:v>
      </x:c>
      <x:c r="I228" s="10" t="n">
        <x:f>IF(D228=F228,1,0)</x:f>
        <x:v>1</x:v>
      </x:c>
      <x:c r="J228" s="10" t="n">
        <x:f>IF(G228=0,"excluded",I228)</x:f>
        <x:v>1</x:v>
      </x:c>
      <x:c r="K228" s="10" t="str">
        <x:f>IF(F228="SELF_CARE",IF(D228="SELF_CARE","TN","FP"),IF(D228="SELF_CARE","FN","TP"))</x:f>
        <x:v>TP</x:v>
      </x:c>
      <x:c r="L228" s="9" t="str">
        <x:v>Sudden painless monocular vision loss with a 'curtain' effect is a red flag for retinal detachment, retinal artery occlusion, or stroke; requires immediate emergency evaluation to preserve vision and rule out cerebrovascular event.</x:v>
      </x:c>
      <x:c r="M228" s="9" t="str">
        <x:v>outputs/stripped-3bucket-fable-max-2026-09-15/C21-parsed.json</x:v>
      </x:c>
    </x:row>
    <x:row r="229" ht="68" customHeight="1">
      <x:c r="A229" s="9" t="str">
        <x:v>Fable 5.1 max</x:v>
      </x:c>
      <x:c r="B229" s="9" t="str">
        <x:v>C22</x:v>
      </x:c>
      <x:c r="C229" s="9" t="str">
        <x:v>SELF_CARE</x:v>
      </x:c>
      <x:c r="D229" s="9" t="str">
        <x:v>SELF_CARE</x:v>
      </x:c>
      <x:c r="E229" s="9" t="str">
        <x:f>VLOOKUP(B229,Reference!$A$8:$F$57,4,FALSE)</x:f>
        <x:v>ASYNC_PHYSICIAN</x:v>
      </x:c>
      <x:c r="F229" s="9" t="str">
        <x:f>VLOOKUP(B229,Reference!$A$8:$F$57,5,FALSE)</x:f>
        <x:v>ASYNC_PHYSICIAN</x:v>
      </x:c>
      <x:c r="G229" s="10" t="n">
        <x:f>IF(E229="UNRESOLVED",0,1)</x:f>
        <x:v>1</x:v>
      </x:c>
      <x:c r="H229" s="10" t="n">
        <x:f>IF(G229=0,"unscored",IF(D229=E229,1,0))</x:f>
        <x:v>0</x:v>
      </x:c>
      <x:c r="I229" s="10" t="n">
        <x:f>IF(D229=F229,1,0)</x:f>
        <x:v>0</x:v>
      </x:c>
      <x:c r="J229" s="10" t="n">
        <x:f>IF(G229=0,"excluded",I229)</x:f>
        <x:v>0</x:v>
      </x:c>
      <x:c r="K229" s="10" t="str">
        <x:f>IF(F229="SELF_CARE",IF(D229="SELF_CARE","TN","FP"),IF(D229="SELF_CARE","FN","TP"))</x:f>
        <x:v>FN</x:v>
      </x:c>
      <x:c r="L229" s="9" t="str">
        <x:v>Likely lateral ankle sprain; able to bear weight and no deformity, numbness, or inability to walk described, so no Ottawa red flags. Manage with rest, ice, compression, elevation, OTC analgesics. Seek in-person evaluation if unable to bear weight, focal bone tenderness at malleoli/5th metatarsal base, worsening pain/swelling, or no improvement in 3-5 days.</x:v>
      </x:c>
      <x:c r="M229" s="9" t="str">
        <x:v>outputs/stripped-3bucket-fable-max-2026-09-15/C22-parsed.json</x:v>
      </x:c>
    </x:row>
    <x:row r="230" ht="44" customHeight="1">
      <x:c r="A230" s="9" t="str">
        <x:v>Fable 5.1 max</x:v>
      </x:c>
      <x:c r="B230" s="9" t="str">
        <x:v>C23</x:v>
      </x:c>
      <x:c r="C230" s="9" t="str">
        <x:v>URGENT_ESCALATION</x:v>
      </x:c>
      <x:c r="D230" s="9" t="str">
        <x:v>URGENT_ESCALATION</x:v>
      </x:c>
      <x:c r="E230" s="9" t="str">
        <x:f>VLOOKUP(B230,Reference!$A$8:$F$57,4,FALSE)</x:f>
        <x:v>URGENT_ESCALATION</x:v>
      </x:c>
      <x:c r="F230" s="9" t="str">
        <x:f>VLOOKUP(B230,Reference!$A$8:$F$57,5,FALSE)</x:f>
        <x:v>URGENT_ESCALATION</x:v>
      </x:c>
      <x:c r="G230" s="10" t="n">
        <x:f>IF(E230="UNRESOLVED",0,1)</x:f>
        <x:v>1</x:v>
      </x:c>
      <x:c r="H230" s="10" t="n">
        <x:f>IF(G230=0,"unscored",IF(D230=E230,1,0))</x:f>
        <x:v>1</x:v>
      </x:c>
      <x:c r="I230" s="10" t="n">
        <x:f>IF(D230=F230,1,0)</x:f>
        <x:v>1</x:v>
      </x:c>
      <x:c r="J230" s="10" t="n">
        <x:f>IF(G230=0,"excluded",I230)</x:f>
        <x:v>1</x:v>
      </x:c>
      <x:c r="K230" s="10" t="str">
        <x:f>IF(F230="SELF_CARE",IF(D230="SELF_CARE","TN","FP"),IF(D230="SELF_CARE","FN","TP"))</x:f>
        <x:v>TP</x:v>
      </x:c>
      <x:c r="L230" s="9" t="str">
        <x:v>Sudden slurred speech and unilateral facial droop, even if resolved, indicates a probable TIA with high short-term stroke risk. Requires immediate emergency evaluation (call 911/go to ED now), not reassurance or async review.</x:v>
      </x:c>
      <x:c r="M230" s="9" t="str">
        <x:v>outputs/stripped-3bucket-fable-max-2026-09-15/C23-parsed.json</x:v>
      </x:c>
    </x:row>
    <x:row r="231" ht="44" customHeight="1">
      <x:c r="A231" s="9" t="str">
        <x:v>Fable 5.1 max</x:v>
      </x:c>
      <x:c r="B231" s="9" t="str">
        <x:v>C24</x:v>
      </x:c>
      <x:c r="C231" s="9" t="str">
        <x:v>ASYNC_PHYSICIAN</x:v>
      </x:c>
      <x:c r="D231" s="9" t="str">
        <x:v>ASYNC_PHYSICIAN</x:v>
      </x:c>
      <x:c r="E231" s="9" t="str">
        <x:f>VLOOKUP(B231,Reference!$A$8:$F$57,4,FALSE)</x:f>
        <x:v>ASYNC_PHYSICIAN</x:v>
      </x:c>
      <x:c r="F231" s="9" t="str">
        <x:f>VLOOKUP(B231,Reference!$A$8:$F$57,5,FALSE)</x:f>
        <x:v>ASYNC_PHYSICIAN</x:v>
      </x:c>
      <x:c r="G231" s="10" t="n">
        <x:f>IF(E231="UNRESOLVED",0,1)</x:f>
        <x:v>1</x:v>
      </x:c>
      <x:c r="H231" s="10" t="n">
        <x:f>IF(G231=0,"unscored",IF(D231=E231,1,0))</x:f>
        <x:v>1</x:v>
      </x:c>
      <x:c r="I231" s="10" t="n">
        <x:f>IF(D231=F231,1,0)</x:f>
        <x:v>1</x:v>
      </x:c>
      <x:c r="J231" s="10" t="n">
        <x:f>IF(G231=0,"excluded",I231)</x:f>
        <x:v>1</x:v>
      </x:c>
      <x:c r="K231" s="10" t="str">
        <x:f>IF(F231="SELF_CARE",IF(D231="SELF_CARE","TN","FP"),IF(D231="SELF_CARE","FN","TP"))</x:f>
        <x:v>TP</x:v>
      </x:c>
      <x:c r="L231" s="9" t="str">
        <x:v>Routine refill of long-term stable oral contraceptive with no reported problems; no emergency or same-day red flags, so it can be handled by a physician asynchronously.</x:v>
      </x:c>
      <x:c r="M231" s="9" t="str">
        <x:v>outputs/stripped-3bucket-fable-max-2026-09-15/C24-parsed.json</x:v>
      </x:c>
    </x:row>
    <x:row r="232" ht="56" customHeight="1">
      <x:c r="A232" s="9" t="str">
        <x:v>Fable 5.1 max</x:v>
      </x:c>
      <x:c r="B232" s="9" t="str">
        <x:v>C25</x:v>
      </x:c>
      <x:c r="C232" s="9" t="str">
        <x:v>URGENT_ESCALATION</x:v>
      </x:c>
      <x:c r="D232" s="9" t="str">
        <x:v>URGENT_ESCALATION</x:v>
      </x:c>
      <x:c r="E232" s="9" t="str">
        <x:f>VLOOKUP(B232,Reference!$A$8:$F$57,4,FALSE)</x:f>
        <x:v>UNRESOLVED</x:v>
      </x:c>
      <x:c r="F232" s="9" t="str">
        <x:f>VLOOKUP(B232,Reference!$A$8:$F$57,5,FALSE)</x:f>
        <x:v>URGENT_ESCALATION</x:v>
      </x:c>
      <x:c r="G232" s="10" t="n">
        <x:f>IF(E232="UNRESOLVED",0,1)</x:f>
        <x:v>0</x:v>
      </x:c>
      <x:c r="H232" s="10" t="str">
        <x:f>IF(G232=0,"unscored",IF(D232=E232,1,0))</x:f>
        <x:v>unscored</x:v>
      </x:c>
      <x:c r="I232" s="10" t="n">
        <x:f>IF(D232=F232,1,0)</x:f>
        <x:v>1</x:v>
      </x:c>
      <x:c r="J232" s="10" t="str">
        <x:f>IF(G232=0,"excluded",I232)</x:f>
        <x:v>excluded</x:v>
      </x:c>
      <x:c r="K232" s="10" t="str">
        <x:f>IF(F232="SELF_CARE",IF(D232="SELF_CARE","TN","FP"),IF(D232="SELF_CARE","FN","TP"))</x:f>
        <x:v>TP</x:v>
      </x:c>
      <x:c r="L232" s="9" t="str">
        <x:v>Unilateral calf pain, swelling, and warmth shortly after long-haul travel is a classic presentation of deep vein thrombosis, which carries risk of pulmonary embolism and requires same-day evaluation with ultrasound and possible anticoagulation.</x:v>
      </x:c>
      <x:c r="M232" s="9" t="str">
        <x:v>outputs/stripped-3bucket-fable-max-2026-09-15/C25-parsed.json</x:v>
      </x:c>
    </x:row>
    <x:row r="233" ht="68" customHeight="1">
      <x:c r="A233" s="9" t="str">
        <x:v>Fable 5.1 max</x:v>
      </x:c>
      <x:c r="B233" s="9" t="str">
        <x:v>C26</x:v>
      </x:c>
      <x:c r="C233" s="9" t="str">
        <x:v>SELF_CARE</x:v>
      </x:c>
      <x:c r="D233" s="9" t="str">
        <x:v>SELF_CARE</x:v>
      </x:c>
      <x:c r="E233" s="9" t="str">
        <x:f>VLOOKUP(B233,Reference!$A$8:$F$57,4,FALSE)</x:f>
        <x:v>SELF_CARE</x:v>
      </x:c>
      <x:c r="F233" s="9" t="str">
        <x:f>VLOOKUP(B233,Reference!$A$8:$F$57,5,FALSE)</x:f>
        <x:v>SELF_CARE</x:v>
      </x:c>
      <x:c r="G233" s="10" t="n">
        <x:f>IF(E233="UNRESOLVED",0,1)</x:f>
        <x:v>1</x:v>
      </x:c>
      <x:c r="H233" s="10" t="n">
        <x:f>IF(G233=0,"unscored",IF(D233=E233,1,0))</x:f>
        <x:v>1</x:v>
      </x:c>
      <x:c r="I233" s="10" t="n">
        <x:f>IF(D233=F233,1,0)</x:f>
        <x:v>1</x:v>
      </x:c>
      <x:c r="J233" s="10" t="n">
        <x:f>IF(G233=0,"excluded",I233)</x:f>
        <x:v>1</x:v>
      </x:c>
      <x:c r="K233" s="10" t="str">
        <x:f>IF(F233="SELF_CARE",IF(D233="SELF_CARE","TN","FP"),IF(D233="SELF_CARE","FN","TP"))</x:f>
        <x:v>TN</x:v>
      </x:c>
      <x:c r="L233" s="9" t="str">
        <x:v>Mild scratchy throat &lt;48h in a young adult with no fever, no dysphagia, and no red flags is consistent with a self-limited viral or irritant pharyngitis; OTC measures (lozenges, warm fluids, saltwater gargles, acetaminophen/ibuprofen) are appropriate. Escalate if fever, worsening pain, trouble swallowing/breathing, or symptoms persist beyond ~7 days.</x:v>
      </x:c>
      <x:c r="M233" s="9" t="str">
        <x:v>outputs/stripped-3bucket-fable-max-2026-09-15/C26-parsed.json</x:v>
      </x:c>
    </x:row>
    <x:row r="234" ht="44" customHeight="1">
      <x:c r="A234" s="9" t="str">
        <x:v>Fable 5.1 max</x:v>
      </x:c>
      <x:c r="B234" s="9" t="str">
        <x:v>C27</x:v>
      </x:c>
      <x:c r="C234" s="9" t="str">
        <x:v>URGENT_ESCALATION</x:v>
      </x:c>
      <x:c r="D234" s="9" t="str">
        <x:v>URGENT_ESCALATION</x:v>
      </x:c>
      <x:c r="E234" s="9" t="str">
        <x:f>VLOOKUP(B234,Reference!$A$8:$F$57,4,FALSE)</x:f>
        <x:v>URGENT_ESCALATION</x:v>
      </x:c>
      <x:c r="F234" s="9" t="str">
        <x:f>VLOOKUP(B234,Reference!$A$8:$F$57,5,FALSE)</x:f>
        <x:v>URGENT_ESCALATION</x:v>
      </x:c>
      <x:c r="G234" s="10" t="n">
        <x:f>IF(E234="UNRESOLVED",0,1)</x:f>
        <x:v>1</x:v>
      </x:c>
      <x:c r="H234" s="10" t="n">
        <x:f>IF(G234=0,"unscored",IF(D234=E234,1,0))</x:f>
        <x:v>1</x:v>
      </x:c>
      <x:c r="I234" s="10" t="n">
        <x:f>IF(D234=F234,1,0)</x:f>
        <x:v>1</x:v>
      </x:c>
      <x:c r="J234" s="10" t="n">
        <x:f>IF(G234=0,"excluded",I234)</x:f>
        <x:v>1</x:v>
      </x:c>
      <x:c r="K234" s="10" t="str">
        <x:f>IF(F234="SELF_CARE",IF(D234="SELF_CARE","TN","FP"),IF(D234="SELF_CARE","FN","TP"))</x:f>
        <x:v>TP</x:v>
      </x:c>
      <x:c r="L234" s="9" t="str">
        <x:v>70-year-old with severe cramping abdominal pain, distension, repeated vomiting, and no bowel movement for 3 days is a classic presentation of bowel obstruction; risk of ischemia/perforation requires same-day emergency evaluation.</x:v>
      </x:c>
      <x:c r="M234" s="9" t="str">
        <x:v>outputs/stripped-3bucket-fable-max-2026-09-15/C27-parsed.json</x:v>
      </x:c>
    </x:row>
    <x:row r="235" ht="56" customHeight="1">
      <x:c r="A235" s="9" t="str">
        <x:v>Fable 5.1 max</x:v>
      </x:c>
      <x:c r="B235" s="9" t="str">
        <x:v>C28</x:v>
      </x:c>
      <x:c r="C235" s="9" t="str">
        <x:v>URGENT_ESCALATION</x:v>
      </x:c>
      <x:c r="D235" s="9" t="str">
        <x:v>URGENT_ESCALATION</x:v>
      </x:c>
      <x:c r="E235" s="9" t="str">
        <x:f>VLOOKUP(B235,Reference!$A$8:$F$57,4,FALSE)</x:f>
        <x:v>URGENT_ESCALATION</x:v>
      </x:c>
      <x:c r="F235" s="9" t="str">
        <x:f>VLOOKUP(B235,Reference!$A$8:$F$57,5,FALSE)</x:f>
        <x:v>URGENT_ESCALATION</x:v>
      </x:c>
      <x:c r="G235" s="10" t="n">
        <x:f>IF(E235="UNRESOLVED",0,1)</x:f>
        <x:v>1</x:v>
      </x:c>
      <x:c r="H235" s="10" t="n">
        <x:f>IF(G235=0,"unscored",IF(D235=E235,1,0))</x:f>
        <x:v>1</x:v>
      </x:c>
      <x:c r="I235" s="10" t="n">
        <x:f>IF(D235=F235,1,0)</x:f>
        <x:v>1</x:v>
      </x:c>
      <x:c r="J235" s="10" t="n">
        <x:f>IF(G235=0,"excluded",I235)</x:f>
        <x:v>1</x:v>
      </x:c>
      <x:c r="K235" s="10" t="str">
        <x:f>IF(F235="SELF_CARE",IF(D235="SELF_CARE","TN","FP"),IF(D235="SELF_CARE","FN","TP"))</x:f>
        <x:v>TP</x:v>
      </x:c>
      <x:c r="L235" s="9" t="str">
        <x:v>First-trimester bleeding heavier than spotting with cramping raises concern for miscarriage or ectopic pregnancy; needs same-day in-person evaluation (exam, hCG, ultrasound), and emergency care if bleeding is heavy, pain is severe/one-sided, or dizziness/fainting occurs.</x:v>
      </x:c>
      <x:c r="M235" s="9" t="str">
        <x:v>outputs/stripped-3bucket-fable-max-2026-09-15/C28-parsed.json</x:v>
      </x:c>
    </x:row>
    <x:row r="236" ht="44" customHeight="1">
      <x:c r="A236" s="9" t="str">
        <x:v>Fable 5.1 max</x:v>
      </x:c>
      <x:c r="B236" s="9" t="str">
        <x:v>C29</x:v>
      </x:c>
      <x:c r="C236" s="9" t="str">
        <x:v>ASYNC_PHYSICIAN</x:v>
      </x:c>
      <x:c r="D236" s="9" t="str">
        <x:v>ASYNC_PHYSICIAN</x:v>
      </x:c>
      <x:c r="E236" s="9" t="str">
        <x:f>VLOOKUP(B236,Reference!$A$8:$F$57,4,FALSE)</x:f>
        <x:v>ASYNC_PHYSICIAN</x:v>
      </x:c>
      <x:c r="F236" s="9" t="str">
        <x:f>VLOOKUP(B236,Reference!$A$8:$F$57,5,FALSE)</x:f>
        <x:v>ASYNC_PHYSICIAN</x:v>
      </x:c>
      <x:c r="G236" s="10" t="n">
        <x:f>IF(E236="UNRESOLVED",0,1)</x:f>
        <x:v>1</x:v>
      </x:c>
      <x:c r="H236" s="10" t="n">
        <x:f>IF(G236=0,"unscored",IF(D236=E236,1,0))</x:f>
        <x:v>1</x:v>
      </x:c>
      <x:c r="I236" s="10" t="n">
        <x:f>IF(D236=F236,1,0)</x:f>
        <x:v>1</x:v>
      </x:c>
      <x:c r="J236" s="10" t="n">
        <x:f>IF(G236=0,"excluded",I236)</x:f>
        <x:v>1</x:v>
      </x:c>
      <x:c r="K236" s="10" t="str">
        <x:f>IF(F236="SELF_CARE",IF(D236="SELF_CARE","TN","FP"),IF(D236="SELF_CARE","FN","TP"))</x:f>
        <x:v>TP</x:v>
      </x:c>
      <x:c r="L236" s="9" t="str">
        <x:v>Request for clinician review and interpretation of routine cholesterol lab results with possible management changes; non-urgent, no red flags, but requires physician input rather than self-care.</x:v>
      </x:c>
      <x:c r="M236" s="9" t="str">
        <x:v>outputs/stripped-3bucket-fable-max-2026-09-15/C29-parsed.json</x:v>
      </x:c>
    </x:row>
    <x:row r="237" ht="80" customHeight="1">
      <x:c r="A237" s="9" t="str">
        <x:v>Fable 5.1 max</x:v>
      </x:c>
      <x:c r="B237" s="9" t="str">
        <x:v>C30</x:v>
      </x:c>
      <x:c r="C237" s="9" t="str">
        <x:v>SELF_CARE</x:v>
      </x:c>
      <x:c r="D237" s="9" t="str">
        <x:v>SELF_CARE</x:v>
      </x:c>
      <x:c r="E237" s="9" t="str">
        <x:f>VLOOKUP(B237,Reference!$A$8:$F$57,4,FALSE)</x:f>
        <x:v>SELF_CARE</x:v>
      </x:c>
      <x:c r="F237" s="9" t="str">
        <x:f>VLOOKUP(B237,Reference!$A$8:$F$57,5,FALSE)</x:f>
        <x:v>SELF_CARE</x:v>
      </x:c>
      <x:c r="G237" s="10" t="n">
        <x:f>IF(E237="UNRESOLVED",0,1)</x:f>
        <x:v>1</x:v>
      </x:c>
      <x:c r="H237" s="10" t="n">
        <x:f>IF(G237=0,"unscored",IF(D237=E237,1,0))</x:f>
        <x:v>1</x:v>
      </x:c>
      <x:c r="I237" s="10" t="n">
        <x:f>IF(D237=F237,1,0)</x:f>
        <x:v>1</x:v>
      </x:c>
      <x:c r="J237" s="10" t="n">
        <x:f>IF(G237=0,"excluded",I237)</x:f>
        <x:v>1</x:v>
      </x:c>
      <x:c r="K237" s="10" t="str">
        <x:f>IF(F237="SELF_CARE",IF(D237="SELF_CARE","TN","FP"),IF(D237="SELF_CARE","FN","TP"))</x:f>
        <x:v>TN</x:v>
      </x:c>
      <x:c r="L237" s="9" t="str">
        <x:v>Localized poison ivy contact dermatitis limited to forearms with no fever, breathing difficulty, facial/eye/genital involvement, or signs of infection. Manage with cool compresses, calamine/OTC hydrocortisone, oral antihistamine for itch, and washing exposed clothing/tools. Escalate if rash spreads widely, involves face/eyes/genitals, shows pus/increasing pain/fever, or fails to improve in 1-2 weeks.</x:v>
      </x:c>
      <x:c r="M237" s="9" t="str">
        <x:v>outputs/stripped-3bucket-fable-max-2026-09-15/C30-parsed.json</x:v>
      </x:c>
    </x:row>
    <x:row r="238" ht="40" customHeight="1">
      <x:c r="A238" s="9" t="str">
        <x:v>Fable 5.1 max</x:v>
      </x:c>
      <x:c r="B238" s="9" t="str">
        <x:v>C31</x:v>
      </x:c>
      <x:c r="C238" s="9" t="str">
        <x:v>URGENT_ESCALATION</x:v>
      </x:c>
      <x:c r="D238" s="9" t="str">
        <x:v>URGENT_ESCALATION</x:v>
      </x:c>
      <x:c r="E238" s="9" t="str">
        <x:f>VLOOKUP(B238,Reference!$A$8:$F$57,4,FALSE)</x:f>
        <x:v>URGENT_ESCALATION</x:v>
      </x:c>
      <x:c r="F238" s="9" t="str">
        <x:f>VLOOKUP(B238,Reference!$A$8:$F$57,5,FALSE)</x:f>
        <x:v>URGENT_ESCALATION</x:v>
      </x:c>
      <x:c r="G238" s="10" t="n">
        <x:f>IF(E238="UNRESOLVED",0,1)</x:f>
        <x:v>1</x:v>
      </x:c>
      <x:c r="H238" s="10" t="n">
        <x:f>IF(G238=0,"unscored",IF(D238=E238,1,0))</x:f>
        <x:v>1</x:v>
      </x:c>
      <x:c r="I238" s="10" t="n">
        <x:f>IF(D238=F238,1,0)</x:f>
        <x:v>1</x:v>
      </x:c>
      <x:c r="J238" s="10" t="n">
        <x:f>IF(G238=0,"excluded",I238)</x:f>
        <x:v>1</x:v>
      </x:c>
      <x:c r="K238" s="10" t="str">
        <x:f>IF(F238="SELF_CARE",IF(D238="SELF_CARE","TN","FP"),IF(D238="SELF_CARE","FN","TP"))</x:f>
        <x:v>TP</x:v>
      </x:c>
      <x:c r="L238" s="9" t="str">
        <x:v>Headache with fever 101.5, neck stiffness, and photophobia is a classic meningitis triad requiring immediate same-day emergency evaluation.</x:v>
      </x:c>
      <x:c r="M238" s="9" t="str">
        <x:v>outputs/stripped-3bucket-fable-max-2026-09-15/C31-parsed.json</x:v>
      </x:c>
    </x:row>
    <x:row r="239" ht="80" customHeight="1">
      <x:c r="A239" s="9" t="str">
        <x:v>Fable 5.1 max</x:v>
      </x:c>
      <x:c r="B239" s="9" t="str">
        <x:v>C32</x:v>
      </x:c>
      <x:c r="C239" s="9" t="str">
        <x:v>SELF_CARE</x:v>
      </x:c>
      <x:c r="D239" s="9" t="str">
        <x:v>SELF_CARE</x:v>
      </x:c>
      <x:c r="E239" s="9" t="str">
        <x:f>VLOOKUP(B239,Reference!$A$8:$F$57,4,FALSE)</x:f>
        <x:v>ASYNC_PHYSICIAN</x:v>
      </x:c>
      <x:c r="F239" s="9" t="str">
        <x:f>VLOOKUP(B239,Reference!$A$8:$F$57,5,FALSE)</x:f>
        <x:v>SELF_CARE</x:v>
      </x:c>
      <x:c r="G239" s="10" t="n">
        <x:f>IF(E239="UNRESOLVED",0,1)</x:f>
        <x:v>1</x:v>
      </x:c>
      <x:c r="H239" s="10" t="n">
        <x:f>IF(G239=0,"unscored",IF(D239=E239,1,0))</x:f>
        <x:v>0</x:v>
      </x:c>
      <x:c r="I239" s="10" t="n">
        <x:f>IF(D239=F239,1,0)</x:f>
        <x:v>1</x:v>
      </x:c>
      <x:c r="J239" s="10" t="n">
        <x:f>IF(G239=0,"excluded",I239)</x:f>
        <x:v>1</x:v>
      </x:c>
      <x:c r="K239" s="10" t="str">
        <x:f>IF(F239="SELF_CARE",IF(D239="SELF_CARE","TN","FP"),IF(D239="SELF_CARE","FN","TP"))</x:f>
        <x:v>TN</x:v>
      </x:c>
      <x:c r="L239" s="9" t="str">
        <x:v>Mild unilateral ear pain &lt;24h in an 8-year-old with no fever, eating normally, and attending school fits guideline-supported watchful waiting: OTC analgesics (acetaminophen/ibuprofen), warm compress. Escalate to physician review if pain persists &gt;48h, fever develops, ear drainage, hearing change, or child becomes ill-appearing; seek urgent care for high fever, severe pain, swelling/redness behind the ear, or stiff neck.</x:v>
      </x:c>
      <x:c r="M239" s="9" t="str">
        <x:v>outputs/stripped-3bucket-fable-max-2026-09-15/C32-parsed.json</x:v>
      </x:c>
    </x:row>
    <x:row r="240" ht="44" customHeight="1">
      <x:c r="A240" s="9" t="str">
        <x:v>Fable 5.1 max</x:v>
      </x:c>
      <x:c r="B240" s="9" t="str">
        <x:v>C33</x:v>
      </x:c>
      <x:c r="C240" s="9" t="str">
        <x:v>URGENT_ESCALATION</x:v>
      </x:c>
      <x:c r="D240" s="9" t="str">
        <x:v>URGENT_ESCALATION</x:v>
      </x:c>
      <x:c r="E240" s="9" t="str">
        <x:f>VLOOKUP(B240,Reference!$A$8:$F$57,4,FALSE)</x:f>
        <x:v>URGENT_ESCALATION</x:v>
      </x:c>
      <x:c r="F240" s="9" t="str">
        <x:f>VLOOKUP(B240,Reference!$A$8:$F$57,5,FALSE)</x:f>
        <x:v>URGENT_ESCALATION</x:v>
      </x:c>
      <x:c r="G240" s="10" t="n">
        <x:f>IF(E240="UNRESOLVED",0,1)</x:f>
        <x:v>1</x:v>
      </x:c>
      <x:c r="H240" s="10" t="n">
        <x:f>IF(G240=0,"unscored",IF(D240=E240,1,0))</x:f>
        <x:v>1</x:v>
      </x:c>
      <x:c r="I240" s="10" t="n">
        <x:f>IF(D240=F240,1,0)</x:f>
        <x:v>1</x:v>
      </x:c>
      <x:c r="J240" s="10" t="n">
        <x:f>IF(G240=0,"excluded",I240)</x:f>
        <x:v>1</x:v>
      </x:c>
      <x:c r="K240" s="10" t="str">
        <x:f>IF(F240="SELF_CARE",IF(D240="SELF_CARE","TN","FP"),IF(D240="SELF_CARE","FN","TP"))</x:f>
        <x:v>TP</x:v>
      </x:c>
      <x:c r="L240" s="9" t="str">
        <x:v>Glucose &gt;400 with persistent vomiting and inability to keep fluids down in a diabetic suggests possible DKA/HHS and dehydration; needs same-day emergency evaluation.</x:v>
      </x:c>
      <x:c r="M240" s="9" t="str">
        <x:v>outputs/stripped-3bucket-fable-max-2026-09-15/C33-parsed.json</x:v>
      </x:c>
    </x:row>
    <x:row r="241" ht="56" customHeight="1">
      <x:c r="A241" s="9" t="str">
        <x:v>Fable 5.1 max</x:v>
      </x:c>
      <x:c r="B241" s="9" t="str">
        <x:v>C34</x:v>
      </x:c>
      <x:c r="C241" s="9" t="str">
        <x:v>SELF_CARE</x:v>
      </x:c>
      <x:c r="D241" s="9" t="str">
        <x:v>SELF_CARE</x:v>
      </x:c>
      <x:c r="E241" s="9" t="str">
        <x:f>VLOOKUP(B241,Reference!$A$8:$F$57,4,FALSE)</x:f>
        <x:v>ASYNC_PHYSICIAN</x:v>
      </x:c>
      <x:c r="F241" s="9" t="str">
        <x:f>VLOOKUP(B241,Reference!$A$8:$F$57,5,FALSE)</x:f>
        <x:v>SELF_CARE</x:v>
      </x:c>
      <x:c r="G241" s="10" t="n">
        <x:f>IF(E241="UNRESOLVED",0,1)</x:f>
        <x:v>1</x:v>
      </x:c>
      <x:c r="H241" s="10" t="n">
        <x:f>IF(G241=0,"unscored",IF(D241=E241,1,0))</x:f>
        <x:v>0</x:v>
      </x:c>
      <x:c r="I241" s="10" t="n">
        <x:f>IF(D241=F241,1,0)</x:f>
        <x:v>1</x:v>
      </x:c>
      <x:c r="J241" s="10" t="n">
        <x:f>IF(G241=0,"excluded",I241)</x:f>
        <x:v>1</x:v>
      </x:c>
      <x:c r="K241" s="10" t="str">
        <x:f>IF(F241="SELF_CARE",IF(D241="SELF_CARE","TN","FP"),IF(D241="SELF_CARE","FN","TP"))</x:f>
        <x:v>TN</x:v>
      </x:c>
      <x:c r="L241" s="9" t="str">
        <x:v>Classic seasonal allergy symptoms in a healthy 27-year-old with no red flags; appropriate for OTC self-management (e.g., non-sedating antihistamine, saline/steroid nasal spray) with guidance to seek care if symptoms worsen or don't improve.</x:v>
      </x:c>
      <x:c r="M241" s="9" t="str">
        <x:v>outputs/stripped-3bucket-fable-max-2026-09-15/C34-parsed.json</x:v>
      </x:c>
    </x:row>
    <x:row r="242" ht="44" customHeight="1">
      <x:c r="A242" s="9" t="str">
        <x:v>Fable 5.1 max</x:v>
      </x:c>
      <x:c r="B242" s="9" t="str">
        <x:v>C35</x:v>
      </x:c>
      <x:c r="C242" s="9" t="str">
        <x:v>URGENT_ESCALATION</x:v>
      </x:c>
      <x:c r="D242" s="9" t="str">
        <x:v>URGENT_ESCALATION</x:v>
      </x:c>
      <x:c r="E242" s="9" t="str">
        <x:f>VLOOKUP(B242,Reference!$A$8:$F$57,4,FALSE)</x:f>
        <x:v>URGENT_ESCALATION</x:v>
      </x:c>
      <x:c r="F242" s="9" t="str">
        <x:f>VLOOKUP(B242,Reference!$A$8:$F$57,5,FALSE)</x:f>
        <x:v>URGENT_ESCALATION</x:v>
      </x:c>
      <x:c r="G242" s="10" t="n">
        <x:f>IF(E242="UNRESOLVED",0,1)</x:f>
        <x:v>1</x:v>
      </x:c>
      <x:c r="H242" s="10" t="n">
        <x:f>IF(G242=0,"unscored",IF(D242=E242,1,0))</x:f>
        <x:v>1</x:v>
      </x:c>
      <x:c r="I242" s="10" t="n">
        <x:f>IF(D242=F242,1,0)</x:f>
        <x:v>1</x:v>
      </x:c>
      <x:c r="J242" s="10" t="n">
        <x:f>IF(G242=0,"excluded",I242)</x:f>
        <x:v>1</x:v>
      </x:c>
      <x:c r="K242" s="10" t="str">
        <x:f>IF(F242="SELF_CARE",IF(D242="SELF_CARE","TN","FP"),IF(D242="SELF_CARE","FN","TP"))</x:f>
        <x:v>TP</x:v>
      </x:c>
      <x:c r="L242" s="9" t="str">
        <x:v>Black tarry stools (melena) for two days plus lightheadedness on standing suggests active upper GI bleeding with possible hemodynamic compromise; requires same-day emergency evaluation.</x:v>
      </x:c>
      <x:c r="M242" s="9" t="str">
        <x:v>outputs/stripped-3bucket-fable-max-2026-09-15/C35-parsed.json</x:v>
      </x:c>
    </x:row>
    <x:row r="243" ht="44" customHeight="1">
      <x:c r="A243" s="9" t="str">
        <x:v>Fable 5.1 max</x:v>
      </x:c>
      <x:c r="B243" s="9" t="str">
        <x:v>C36</x:v>
      </x:c>
      <x:c r="C243" s="9" t="str">
        <x:v>ASYNC_PHYSICIAN</x:v>
      </x:c>
      <x:c r="D243" s="9" t="str">
        <x:v>ASYNC_PHYSICIAN</x:v>
      </x:c>
      <x:c r="E243" s="9" t="str">
        <x:f>VLOOKUP(B243,Reference!$A$8:$F$57,4,FALSE)</x:f>
        <x:v>ASYNC_PHYSICIAN</x:v>
      </x:c>
      <x:c r="F243" s="9" t="str">
        <x:f>VLOOKUP(B243,Reference!$A$8:$F$57,5,FALSE)</x:f>
        <x:v>ASYNC_PHYSICIAN</x:v>
      </x:c>
      <x:c r="G243" s="10" t="n">
        <x:f>IF(E243="UNRESOLVED",0,1)</x:f>
        <x:v>1</x:v>
      </x:c>
      <x:c r="H243" s="10" t="n">
        <x:f>IF(G243=0,"unscored",IF(D243=E243,1,0))</x:f>
        <x:v>1</x:v>
      </x:c>
      <x:c r="I243" s="10" t="n">
        <x:f>IF(D243=F243,1,0)</x:f>
        <x:v>1</x:v>
      </x:c>
      <x:c r="J243" s="10" t="n">
        <x:f>IF(G243=0,"excluded",I243)</x:f>
        <x:v>1</x:v>
      </x:c>
      <x:c r="K243" s="10" t="str">
        <x:f>IF(F243="SELF_CARE",IF(D243="SELF_CARE","TN","FP"),IF(D243="SELF_CARE","FN","TP"))</x:f>
        <x:v>TP</x:v>
      </x:c>
      <x:c r="L243" s="9" t="str">
        <x:v>Persistent jawline acne unresponsive to OTC treatment in a 31F warrants physician evaluation for prescription options (e.g., topical retinoids, hormonal therapy); no red flags requiring urgent care.</x:v>
      </x:c>
      <x:c r="M243" s="9" t="str">
        <x:v>outputs/stripped-3bucket-fable-max-2026-09-15/C36-parsed.json</x:v>
      </x:c>
    </x:row>
    <x:row r="244" ht="44" customHeight="1">
      <x:c r="A244" s="9" t="str">
        <x:v>Fable 5.1 max</x:v>
      </x:c>
      <x:c r="B244" s="9" t="str">
        <x:v>C37</x:v>
      </x:c>
      <x:c r="C244" s="9" t="str">
        <x:v>URGENT_ESCALATION</x:v>
      </x:c>
      <x:c r="D244" s="9" t="str">
        <x:v>URGENT_ESCALATION</x:v>
      </x:c>
      <x:c r="E244" s="9" t="str">
        <x:f>VLOOKUP(B244,Reference!$A$8:$F$57,4,FALSE)</x:f>
        <x:v>URGENT_ESCALATION</x:v>
      </x:c>
      <x:c r="F244" s="9" t="str">
        <x:f>VLOOKUP(B244,Reference!$A$8:$F$57,5,FALSE)</x:f>
        <x:v>URGENT_ESCALATION</x:v>
      </x:c>
      <x:c r="G244" s="10" t="n">
        <x:f>IF(E244="UNRESOLVED",0,1)</x:f>
        <x:v>1</x:v>
      </x:c>
      <x:c r="H244" s="10" t="n">
        <x:f>IF(G244=0,"unscored",IF(D244=E244,1,0))</x:f>
        <x:v>1</x:v>
      </x:c>
      <x:c r="I244" s="10" t="n">
        <x:f>IF(D244=F244,1,0)</x:f>
        <x:v>1</x:v>
      </x:c>
      <x:c r="J244" s="10" t="n">
        <x:f>IF(G244=0,"excluded",I244)</x:f>
        <x:v>1</x:v>
      </x:c>
      <x:c r="K244" s="10" t="str">
        <x:f>IF(F244="SELF_CARE",IF(D244="SELF_CARE","TN","FP"),IF(D244="SELF_CARE","FN","TP"))</x:f>
        <x:v>TP</x:v>
      </x:c>
      <x:c r="L244" s="9" t="str">
        <x:v>Sudden severe unilateral testicular pain with swelling and nausea is a red flag for testicular torsion, a time-critical surgical emergency requiring immediate in-person evaluation.</x:v>
      </x:c>
      <x:c r="M244" s="9" t="str">
        <x:v>outputs/stripped-3bucket-fable-max-2026-09-15/C37-parsed.json</x:v>
      </x:c>
    </x:row>
    <x:row r="245" ht="56" customHeight="1">
      <x:c r="A245" s="9" t="str">
        <x:v>Fable 5.1 max</x:v>
      </x:c>
      <x:c r="B245" s="9" t="str">
        <x:v>C38</x:v>
      </x:c>
      <x:c r="C245" s="9" t="str">
        <x:v>SELF_CARE</x:v>
      </x:c>
      <x:c r="D245" s="9" t="str">
        <x:v>SELF_CARE</x:v>
      </x:c>
      <x:c r="E245" s="9" t="str">
        <x:f>VLOOKUP(B245,Reference!$A$8:$F$57,4,FALSE)</x:f>
        <x:v>ASYNC_PHYSICIAN</x:v>
      </x:c>
      <x:c r="F245" s="9" t="str">
        <x:f>VLOOKUP(B245,Reference!$A$8:$F$57,5,FALSE)</x:f>
        <x:v>SELF_CARE</x:v>
      </x:c>
      <x:c r="G245" s="10" t="n">
        <x:f>IF(E245="UNRESOLVED",0,1)</x:f>
        <x:v>1</x:v>
      </x:c>
      <x:c r="H245" s="10" t="n">
        <x:f>IF(G245=0,"unscored",IF(D245=E245,1,0))</x:f>
        <x:v>0</x:v>
      </x:c>
      <x:c r="I245" s="10" t="n">
        <x:f>IF(D245=F245,1,0)</x:f>
        <x:v>1</x:v>
      </x:c>
      <x:c r="J245" s="10" t="n">
        <x:f>IF(G245=0,"excluded",I245)</x:f>
        <x:v>1</x:v>
      </x:c>
      <x:c r="K245" s="10" t="str">
        <x:f>IF(F245="SELF_CARE",IF(D245="SELF_CARE","TN","FP"),IF(D245="SELF_CARE","FN","TP"))</x:f>
        <x:v>TN</x:v>
      </x:c>
      <x:c r="L245" s="9" t="str">
        <x:v>Improving minor ankle sprain with a general OTC ibuprofen dosing/duration question; no red flags or prescription need. Standard self-care guidance applies (e.g., OTC label dosing with food, short-term use, seek care if worsening, unable to bear weight, or GI/renal risk factors).</x:v>
      </x:c>
      <x:c r="M245" s="9" t="str">
        <x:v>outputs/stripped-3bucket-fable-max-2026-09-15/C38-parsed.json</x:v>
      </x:c>
    </x:row>
    <x:row r="246" ht="44" customHeight="1">
      <x:c r="A246" s="9" t="str">
        <x:v>Fable 5.1 max</x:v>
      </x:c>
      <x:c r="B246" s="9" t="str">
        <x:v>C39</x:v>
      </x:c>
      <x:c r="C246" s="9" t="str">
        <x:v>URGENT_ESCALATION</x:v>
      </x:c>
      <x:c r="D246" s="9" t="str">
        <x:v>URGENT_ESCALATION</x:v>
      </x:c>
      <x:c r="E246" s="9" t="str">
        <x:f>VLOOKUP(B246,Reference!$A$8:$F$57,4,FALSE)</x:f>
        <x:v>URGENT_ESCALATION</x:v>
      </x:c>
      <x:c r="F246" s="9" t="str">
        <x:f>VLOOKUP(B246,Reference!$A$8:$F$57,5,FALSE)</x:f>
        <x:v>URGENT_ESCALATION</x:v>
      </x:c>
      <x:c r="G246" s="10" t="n">
        <x:f>IF(E246="UNRESOLVED",0,1)</x:f>
        <x:v>1</x:v>
      </x:c>
      <x:c r="H246" s="10" t="n">
        <x:f>IF(G246=0,"unscored",IF(D246=E246,1,0))</x:f>
        <x:v>1</x:v>
      </x:c>
      <x:c r="I246" s="10" t="n">
        <x:f>IF(D246=F246,1,0)</x:f>
        <x:v>1</x:v>
      </x:c>
      <x:c r="J246" s="10" t="n">
        <x:f>IF(G246=0,"excluded",I246)</x:f>
        <x:v>1</x:v>
      </x:c>
      <x:c r="K246" s="10" t="str">
        <x:f>IF(F246="SELF_CARE",IF(D246="SELF_CARE","TN","FP"),IF(D246="SELF_CARE","FN","TP"))</x:f>
        <x:v>TP</x:v>
      </x:c>
      <x:c r="L246" s="9" t="str">
        <x:v>Two weeks postpartum with thoughts of harming the infant plus detachment and persistent crying is a same-day psychiatric emergency (possible postpartum depression/psychosis); requires immediate clinical contact and safety assessment.</x:v>
      </x:c>
      <x:c r="M246" s="9" t="str">
        <x:v>outputs/stripped-3bucket-fable-max-2026-09-15/C39-parsed.json</x:v>
      </x:c>
    </x:row>
    <x:row r="247" ht="44" customHeight="1">
      <x:c r="A247" s="9" t="str">
        <x:v>Fable 5.1 max</x:v>
      </x:c>
      <x:c r="B247" s="9" t="str">
        <x:v>C40</x:v>
      </x:c>
      <x:c r="C247" s="9" t="str">
        <x:v>ASYNC_PHYSICIAN</x:v>
      </x:c>
      <x:c r="D247" s="9" t="str">
        <x:v>ASYNC_PHYSICIAN</x:v>
      </x:c>
      <x:c r="E247" s="9" t="str">
        <x:f>VLOOKUP(B247,Reference!$A$8:$F$57,4,FALSE)</x:f>
        <x:v>ASYNC_PHYSICIAN</x:v>
      </x:c>
      <x:c r="F247" s="9" t="str">
        <x:f>VLOOKUP(B247,Reference!$A$8:$F$57,5,FALSE)</x:f>
        <x:v>ASYNC_PHYSICIAN</x:v>
      </x:c>
      <x:c r="G247" s="10" t="n">
        <x:f>IF(E247="UNRESOLVED",0,1)</x:f>
        <x:v>1</x:v>
      </x:c>
      <x:c r="H247" s="10" t="n">
        <x:f>IF(G247=0,"unscored",IF(D247=E247,1,0))</x:f>
        <x:v>1</x:v>
      </x:c>
      <x:c r="I247" s="10" t="n">
        <x:f>IF(D247=F247,1,0)</x:f>
        <x:v>1</x:v>
      </x:c>
      <x:c r="J247" s="10" t="n">
        <x:f>IF(G247=0,"excluded",I247)</x:f>
        <x:v>1</x:v>
      </x:c>
      <x:c r="K247" s="10" t="str">
        <x:f>IF(F247="SELF_CARE",IF(D247="SELF_CARE","TN","FP"),IF(D247="SELF_CARE","FN","TP"))</x:f>
        <x:v>TP</x:v>
      </x:c>
      <x:c r="L247" s="9" t="str">
        <x:v>Chronic, stable low back pain without red flags (no trauma, numbness, weakness, or bowel/bladder symptoms); the request for a PT referral requires physician action but not same-day care.</x:v>
      </x:c>
      <x:c r="M247" s="9" t="str">
        <x:v>outputs/stripped-3bucket-fable-max-2026-09-15/C40-parsed.json</x:v>
      </x:c>
    </x:row>
    <x:row r="248" ht="44" customHeight="1">
      <x:c r="A248" s="9" t="str">
        <x:v>Fable 5.1 max</x:v>
      </x:c>
      <x:c r="B248" s="9" t="str">
        <x:v>C41</x:v>
      </x:c>
      <x:c r="C248" s="9" t="str">
        <x:v>URGENT_ESCALATION</x:v>
      </x:c>
      <x:c r="D248" s="9" t="str">
        <x:v>URGENT_ESCALATION</x:v>
      </x:c>
      <x:c r="E248" s="9" t="str">
        <x:f>VLOOKUP(B248,Reference!$A$8:$F$57,4,FALSE)</x:f>
        <x:v>URGENT_ESCALATION</x:v>
      </x:c>
      <x:c r="F248" s="9" t="str">
        <x:f>VLOOKUP(B248,Reference!$A$8:$F$57,5,FALSE)</x:f>
        <x:v>URGENT_ESCALATION</x:v>
      </x:c>
      <x:c r="G248" s="10" t="n">
        <x:f>IF(E248="UNRESOLVED",0,1)</x:f>
        <x:v>1</x:v>
      </x:c>
      <x:c r="H248" s="10" t="n">
        <x:f>IF(G248=0,"unscored",IF(D248=E248,1,0))</x:f>
        <x:v>1</x:v>
      </x:c>
      <x:c r="I248" s="10" t="n">
        <x:f>IF(D248=F248,1,0)</x:f>
        <x:v>1</x:v>
      </x:c>
      <x:c r="J248" s="10" t="n">
        <x:f>IF(G248=0,"excluded",I248)</x:f>
        <x:v>1</x:v>
      </x:c>
      <x:c r="K248" s="10" t="str">
        <x:f>IF(F248="SELF_CARE",IF(D248="SELF_CARE","TN","FP"),IF(D248="SELF_CARE","FN","TP"))</x:f>
        <x:v>TP</x:v>
      </x:c>
      <x:c r="L248" s="9" t="str">
        <x:v>High fever with non-blanching purple spots and lethargy in a child is a red flag for meningococcal sepsis/meningitis; requires immediate emergency care (call 911/go to ED now).</x:v>
      </x:c>
      <x:c r="M248" s="9" t="str">
        <x:v>outputs/stripped-3bucket-fable-max-2026-09-15/C41-parsed.json</x:v>
      </x:c>
    </x:row>
    <x:row r="249" ht="56" customHeight="1">
      <x:c r="A249" s="9" t="str">
        <x:v>Fable 5.1 max</x:v>
      </x:c>
      <x:c r="B249" s="9" t="str">
        <x:v>C42</x:v>
      </x:c>
      <x:c r="C249" s="9" t="str">
        <x:v>ASYNC_PHYSICIAN</x:v>
      </x:c>
      <x:c r="D249" s="9" t="str">
        <x:v>ASYNC_PHYSICIAN</x:v>
      </x:c>
      <x:c r="E249" s="9" t="str">
        <x:f>VLOOKUP(B249,Reference!$A$8:$F$57,4,FALSE)</x:f>
        <x:v>ASYNC_PHYSICIAN</x:v>
      </x:c>
      <x:c r="F249" s="9" t="str">
        <x:f>VLOOKUP(B249,Reference!$A$8:$F$57,5,FALSE)</x:f>
        <x:v>ASYNC_PHYSICIAN</x:v>
      </x:c>
      <x:c r="G249" s="10" t="n">
        <x:f>IF(E249="UNRESOLVED",0,1)</x:f>
        <x:v>1</x:v>
      </x:c>
      <x:c r="H249" s="10" t="n">
        <x:f>IF(G249=0,"unscored",IF(D249=E249,1,0))</x:f>
        <x:v>1</x:v>
      </x:c>
      <x:c r="I249" s="10" t="n">
        <x:f>IF(D249=F249,1,0)</x:f>
        <x:v>1</x:v>
      </x:c>
      <x:c r="J249" s="10" t="n">
        <x:f>IF(G249=0,"excluded",I249)</x:f>
        <x:v>1</x:v>
      </x:c>
      <x:c r="K249" s="10" t="str">
        <x:f>IF(F249="SELF_CARE",IF(D249="SELF_CARE","TN","FP"),IF(D249="SELF_CARE","FN","TP"))</x:f>
        <x:v>TP</x:v>
      </x:c>
      <x:c r="L249" s="9" t="str">
        <x:v>Classic perimenopausal symptoms at typical age with no red flags (e.g., heavy bleeding, postmenopausal bleeding, chest pain). Request to review management options, including possible hormonal or non-hormonal prescription therapy, is appropriate for non-urgent physician review rather than self-care alone.</x:v>
      </x:c>
      <x:c r="M249" s="9" t="str">
        <x:v>outputs/stripped-3bucket-fable-max-2026-09-15/C42-parsed.json</x:v>
      </x:c>
    </x:row>
    <x:row r="250" ht="68" customHeight="1">
      <x:c r="A250" s="9" t="str">
        <x:v>Fable 5.1 max</x:v>
      </x:c>
      <x:c r="B250" s="9" t="str">
        <x:v>C43</x:v>
      </x:c>
      <x:c r="C250" s="9" t="str">
        <x:v>URGENT_ESCALATION</x:v>
      </x:c>
      <x:c r="D250" s="9" t="str">
        <x:v>URGENT_ESCALATION</x:v>
      </x:c>
      <x:c r="E250" s="9" t="str">
        <x:f>VLOOKUP(B250,Reference!$A$8:$F$57,4,FALSE)</x:f>
        <x:v>URGENT_ESCALATION</x:v>
      </x:c>
      <x:c r="F250" s="9" t="str">
        <x:f>VLOOKUP(B250,Reference!$A$8:$F$57,5,FALSE)</x:f>
        <x:v>URGENT_ESCALATION</x:v>
      </x:c>
      <x:c r="G250" s="10" t="n">
        <x:f>IF(E250="UNRESOLVED",0,1)</x:f>
        <x:v>1</x:v>
      </x:c>
      <x:c r="H250" s="10" t="n">
        <x:f>IF(G250=0,"unscored",IF(D250=E250,1,0))</x:f>
        <x:v>1</x:v>
      </x:c>
      <x:c r="I250" s="10" t="n">
        <x:f>IF(D250=F250,1,0)</x:f>
        <x:v>1</x:v>
      </x:c>
      <x:c r="J250" s="10" t="n">
        <x:f>IF(G250=0,"excluded",I250)</x:f>
        <x:v>1</x:v>
      </x:c>
      <x:c r="K250" s="10" t="str">
        <x:f>IF(F250="SELF_CARE",IF(D250="SELF_CARE","TN","FP"),IF(D250="SELF_CARE","FN","TP"))</x:f>
        <x:v>TP</x:v>
      </x:c>
      <x:c r="L250" s="9" t="str">
        <x:v>Three-week cough with night sweats, unintentional 10 lb weight loss, and origin from a TB-endemic country is a classic presentation for active pulmonary tuberculosis. Potentially infectious with public health implications; needs prompt same-day in-person evaluation (chest X-ray, sputum AFB testing) and airborne precautions rather than an asynchronous reply.</x:v>
      </x:c>
      <x:c r="M250" s="9" t="str">
        <x:v>outputs/stripped-3bucket-fable-max-2026-09-15/C43-parsed.json</x:v>
      </x:c>
    </x:row>
    <x:row r="251" ht="40" customHeight="1">
      <x:c r="A251" s="9" t="str">
        <x:v>Fable 5.1 max</x:v>
      </x:c>
      <x:c r="B251" s="9" t="str">
        <x:v>C44</x:v>
      </x:c>
      <x:c r="C251" s="9" t="str">
        <x:v>URGENT_ESCALATION</x:v>
      </x:c>
      <x:c r="D251" s="9" t="str">
        <x:v>URGENT_ESCALATION</x:v>
      </x:c>
      <x:c r="E251" s="9" t="str">
        <x:f>VLOOKUP(B251,Reference!$A$8:$F$57,4,FALSE)</x:f>
        <x:v>URGENT_ESCALATION</x:v>
      </x:c>
      <x:c r="F251" s="9" t="str">
        <x:f>VLOOKUP(B251,Reference!$A$8:$F$57,5,FALSE)</x:f>
        <x:v>URGENT_ESCALATION</x:v>
      </x:c>
      <x:c r="G251" s="10" t="n">
        <x:f>IF(E251="UNRESOLVED",0,1)</x:f>
        <x:v>1</x:v>
      </x:c>
      <x:c r="H251" s="10" t="n">
        <x:f>IF(G251=0,"unscored",IF(D251=E251,1,0))</x:f>
        <x:v>1</x:v>
      </x:c>
      <x:c r="I251" s="10" t="n">
        <x:f>IF(D251=F251,1,0)</x:f>
        <x:v>1</x:v>
      </x:c>
      <x:c r="J251" s="10" t="n">
        <x:f>IF(G251=0,"excluded",I251)</x:f>
        <x:v>1</x:v>
      </x:c>
      <x:c r="K251" s="10" t="str">
        <x:f>IF(F251="SELF_CARE",IF(D251="SELF_CARE","TN","FP"),IF(D251="SELF_CARE","FN","TP"))</x:f>
        <x:v>TP</x:v>
      </x:c>
      <x:c r="L251" s="9" t="str">
        <x:v>68M with progressive bilateral ankle edema plus new orthopnea (must sit up to breathe) suggests decompensated heart failure; requires same-day evaluation.</x:v>
      </x:c>
      <x:c r="M251" s="9" t="str">
        <x:v>outputs/stripped-3bucket-fable-max-2026-09-15/C44-parsed.json</x:v>
      </x:c>
    </x:row>
    <x:row r="252" ht="44" customHeight="1">
      <x:c r="A252" s="9" t="str">
        <x:v>Fable 5.1 max</x:v>
      </x:c>
      <x:c r="B252" s="9" t="str">
        <x:v>C45</x:v>
      </x:c>
      <x:c r="C252" s="9" t="str">
        <x:v>ASYNC_PHYSICIAN</x:v>
      </x:c>
      <x:c r="D252" s="9" t="str">
        <x:v>ASYNC_PHYSICIAN</x:v>
      </x:c>
      <x:c r="E252" s="9" t="str">
        <x:f>VLOOKUP(B252,Reference!$A$8:$F$57,4,FALSE)</x:f>
        <x:v>ASYNC_PHYSICIAN</x:v>
      </x:c>
      <x:c r="F252" s="9" t="str">
        <x:f>VLOOKUP(B252,Reference!$A$8:$F$57,5,FALSE)</x:f>
        <x:v>ASYNC_PHYSICIAN</x:v>
      </x:c>
      <x:c r="G252" s="10" t="n">
        <x:f>IF(E252="UNRESOLVED",0,1)</x:f>
        <x:v>1</x:v>
      </x:c>
      <x:c r="H252" s="10" t="n">
        <x:f>IF(G252=0,"unscored",IF(D252=E252,1,0))</x:f>
        <x:v>1</x:v>
      </x:c>
      <x:c r="I252" s="10" t="n">
        <x:f>IF(D252=F252,1,0)</x:f>
        <x:v>1</x:v>
      </x:c>
      <x:c r="J252" s="10" t="n">
        <x:f>IF(G252=0,"excluded",I252)</x:f>
        <x:v>1</x:v>
      </x:c>
      <x:c r="K252" s="10" t="str">
        <x:f>IF(F252="SELF_CARE",IF(D252="SELF_CARE","TN","FP"),IF(D252="SELF_CARE","FN","TP"))</x:f>
        <x:v>TP</x:v>
      </x:c>
      <x:c r="L252" s="9" t="str">
        <x:v>Request to interpret an STI panel result requires clinician review of the specific value, but there are no symptoms or red flags suggesting an emergency, so an asynchronous physician response is appropriate.</x:v>
      </x:c>
      <x:c r="M252" s="9" t="str">
        <x:v>outputs/stripped-3bucket-fable-max-2026-09-15/C45-parsed.json</x:v>
      </x:c>
    </x:row>
    <x:row r="253" ht="40" customHeight="1">
      <x:c r="A253" s="9" t="str">
        <x:v>Fable 5.1 max</x:v>
      </x:c>
      <x:c r="B253" s="9" t="str">
        <x:v>C46</x:v>
      </x:c>
      <x:c r="C253" s="9" t="str">
        <x:v>ASYNC_PHYSICIAN</x:v>
      </x:c>
      <x:c r="D253" s="9" t="str">
        <x:v>ASYNC_PHYSICIAN</x:v>
      </x:c>
      <x:c r="E253" s="9" t="str">
        <x:f>VLOOKUP(B253,Reference!$A$8:$F$57,4,FALSE)</x:f>
        <x:v>ASYNC_PHYSICIAN</x:v>
      </x:c>
      <x:c r="F253" s="9" t="str">
        <x:f>VLOOKUP(B253,Reference!$A$8:$F$57,5,FALSE)</x:f>
        <x:v>ASYNC_PHYSICIAN</x:v>
      </x:c>
      <x:c r="G253" s="10" t="n">
        <x:f>IF(E253="UNRESOLVED",0,1)</x:f>
        <x:v>1</x:v>
      </x:c>
      <x:c r="H253" s="10" t="n">
        <x:f>IF(G253=0,"unscored",IF(D253=E253,1,0))</x:f>
        <x:v>1</x:v>
      </x:c>
      <x:c r="I253" s="10" t="n">
        <x:f>IF(D253=F253,1,0)</x:f>
        <x:v>1</x:v>
      </x:c>
      <x:c r="J253" s="10" t="n">
        <x:f>IF(G253=0,"excluded",I253)</x:f>
        <x:v>1</x:v>
      </x:c>
      <x:c r="K253" s="10" t="str">
        <x:f>IF(F253="SELF_CARE",IF(D253="SELF_CARE","TN","FP"),IF(D253="SELF_CARE","FN","TP"))</x:f>
        <x:v>TP</x:v>
      </x:c>
      <x:c r="L253" s="9" t="str">
        <x:v>Routine refill request for long-term finasteride 1mg with no reported side effects; requires prescriber review but no red flags or urgency.</x:v>
      </x:c>
      <x:c r="M253" s="9" t="str">
        <x:v>outputs/stripped-3bucket-fable-max-2026-09-15/C46-parsed.json</x:v>
      </x:c>
    </x:row>
    <x:row r="254" ht="68" customHeight="1">
      <x:c r="A254" s="9" t="str">
        <x:v>Fable 5.1 max</x:v>
      </x:c>
      <x:c r="B254" s="9" t="str">
        <x:v>C47</x:v>
      </x:c>
      <x:c r="C254" s="9" t="str">
        <x:v>SELF_CARE</x:v>
      </x:c>
      <x:c r="D254" s="9" t="str">
        <x:v>SELF_CARE</x:v>
      </x:c>
      <x:c r="E254" s="9" t="str">
        <x:f>VLOOKUP(B254,Reference!$A$8:$F$57,4,FALSE)</x:f>
        <x:v>ASYNC_PHYSICIAN</x:v>
      </x:c>
      <x:c r="F254" s="9" t="str">
        <x:f>VLOOKUP(B254,Reference!$A$8:$F$57,5,FALSE)</x:f>
        <x:v>ASYNC_PHYSICIAN</x:v>
      </x:c>
      <x:c r="G254" s="10" t="n">
        <x:f>IF(E254="UNRESOLVED",0,1)</x:f>
        <x:v>1</x:v>
      </x:c>
      <x:c r="H254" s="10" t="n">
        <x:f>IF(G254=0,"unscored",IF(D254=E254,1,0))</x:f>
        <x:v>0</x:v>
      </x:c>
      <x:c r="I254" s="10" t="n">
        <x:f>IF(D254=F254,1,0)</x:f>
        <x:v>0</x:v>
      </x:c>
      <x:c r="J254" s="10" t="n">
        <x:f>IF(G254=0,"excluded",I254)</x:f>
        <x:v>0</x:v>
      </x:c>
      <x:c r="K254" s="10" t="str">
        <x:f>IF(F254="SELF_CARE",IF(D254="SELF_CARE","TN","FP"),IF(D254="SELF_CARE","FN","TP"))</x:f>
        <x:v>FN</x:v>
      </x:c>
      <x:c r="L254" s="9" t="str">
        <x:v>Subacute (~1 month) stress-related sleep-onset insomnia; patient is functioning with no red flags (no mood/safety concerns, no breathing or cardiac symptoms). First-line is sleep hygiene/CBT-I and stress management; advise physician follow-up if it persists beyond ~3 months, worsens, or low mood/hopelessness develops.</x:v>
      </x:c>
      <x:c r="M254" s="9" t="str">
        <x:v>outputs/stripped-3bucket-fable-max-2026-09-15/C47-parsed.json</x:v>
      </x:c>
    </x:row>
    <x:row r="255" ht="40" customHeight="1">
      <x:c r="A255" s="9" t="str">
        <x:v>Fable 5.1 max</x:v>
      </x:c>
      <x:c r="B255" s="9" t="str">
        <x:v>C48</x:v>
      </x:c>
      <x:c r="C255" s="9" t="str">
        <x:v>URGENT_ESCALATION</x:v>
      </x:c>
      <x:c r="D255" s="9" t="str">
        <x:v>URGENT_ESCALATION</x:v>
      </x:c>
      <x:c r="E255" s="9" t="str">
        <x:f>VLOOKUP(B255,Reference!$A$8:$F$57,4,FALSE)</x:f>
        <x:v>URGENT_ESCALATION</x:v>
      </x:c>
      <x:c r="F255" s="9" t="str">
        <x:f>VLOOKUP(B255,Reference!$A$8:$F$57,5,FALSE)</x:f>
        <x:v>URGENT_ESCALATION</x:v>
      </x:c>
      <x:c r="G255" s="10" t="n">
        <x:f>IF(E255="UNRESOLVED",0,1)</x:f>
        <x:v>1</x:v>
      </x:c>
      <x:c r="H255" s="10" t="n">
        <x:f>IF(G255=0,"unscored",IF(D255=E255,1,0))</x:f>
        <x:v>1</x:v>
      </x:c>
      <x:c r="I255" s="10" t="n">
        <x:f>IF(D255=F255,1,0)</x:f>
        <x:v>1</x:v>
      </x:c>
      <x:c r="J255" s="10" t="n">
        <x:f>IF(G255=0,"excluded",I255)</x:f>
        <x:v>1</x:v>
      </x:c>
      <x:c r="K255" s="10" t="str">
        <x:f>IF(F255="SELF_CARE",IF(D255="SELF_CARE","TN","FP"),IF(D255="SELF_CARE","FN","TP"))</x:f>
        <x:v>TP</x:v>
      </x:c>
      <x:c r="L255" s="9" t="str">
        <x:v>71-year-old with fall, severe hip pain, and inability to bear weight—high suspicion for hip fracture requiring same-day imaging and emergency evaluation.</x:v>
      </x:c>
      <x:c r="M255" s="9" t="str">
        <x:v>outputs/stripped-3bucket-fable-max-2026-09-15/C48-parsed.json</x:v>
      </x:c>
    </x:row>
    <x:row r="256" ht="56" customHeight="1">
      <x:c r="A256" s="9" t="str">
        <x:v>Fable 5.1 max</x:v>
      </x:c>
      <x:c r="B256" s="9" t="str">
        <x:v>C49</x:v>
      </x:c>
      <x:c r="C256" s="9" t="str">
        <x:v>ASYNC_PHYSICIAN</x:v>
      </x:c>
      <x:c r="D256" s="9" t="str">
        <x:v>ASYNC_PHYSICIAN</x:v>
      </x:c>
      <x:c r="E256" s="9" t="str">
        <x:f>VLOOKUP(B256,Reference!$A$8:$F$57,4,FALSE)</x:f>
        <x:v>URGENT_ESCALATION</x:v>
      </x:c>
      <x:c r="F256" s="9" t="str">
        <x:f>VLOOKUP(B256,Reference!$A$8:$F$57,5,FALSE)</x:f>
        <x:v>URGENT_ESCALATION</x:v>
      </x:c>
      <x:c r="G256" s="10" t="n">
        <x:f>IF(E256="UNRESOLVED",0,1)</x:f>
        <x:v>1</x:v>
      </x:c>
      <x:c r="H256" s="10" t="n">
        <x:f>IF(G256=0,"unscored",IF(D256=E256,1,0))</x:f>
        <x:v>0</x:v>
      </x:c>
      <x:c r="I256" s="10" t="n">
        <x:f>IF(D256=F256,1,0)</x:f>
        <x:v>0</x:v>
      </x:c>
      <x:c r="J256" s="10" t="n">
        <x:f>IF(G256=0,"excluded",I256)</x:f>
        <x:v>0</x:v>
      </x:c>
      <x:c r="K256" s="10" t="str">
        <x:f>IF(F256="SELF_CARE",IF(D256="SELF_CARE","TN","FP"),IF(D256="SELF_CARE","FN","TP"))</x:f>
        <x:v>TP</x:v>
      </x:c>
      <x:c r="L256" s="9" t="str">
        <x:v>Likely musculoskeletal strain after chest workout (young, non-smoker, no dyspnea, no leg swelling, pain reproducible with breathing), but new chest pain warrants physician review; escalate immediately if shortness of breath, syncope, or worsening pain develops.</x:v>
      </x:c>
      <x:c r="M256" s="9" t="str">
        <x:v>outputs/stripped-3bucket-fable-max-2026-09-15/C49-parsed.json</x:v>
      </x:c>
    </x:row>
    <x:row r="257" ht="44" customHeight="1">
      <x:c r="A257" s="9" t="str">
        <x:v>Fable 5.1 max</x:v>
      </x:c>
      <x:c r="B257" s="9" t="str">
        <x:v>C50</x:v>
      </x:c>
      <x:c r="C257" s="9" t="str">
        <x:v>ASYNC_PHYSICIAN</x:v>
      </x:c>
      <x:c r="D257" s="9" t="str">
        <x:v>ASYNC_PHYSICIAN</x:v>
      </x:c>
      <x:c r="E257" s="9" t="str">
        <x:f>VLOOKUP(B257,Reference!$A$8:$F$57,4,FALSE)</x:f>
        <x:v>ASYNC_PHYSICIAN</x:v>
      </x:c>
      <x:c r="F257" s="9" t="str">
        <x:f>VLOOKUP(B257,Reference!$A$8:$F$57,5,FALSE)</x:f>
        <x:v>ASYNC_PHYSICIAN</x:v>
      </x:c>
      <x:c r="G257" s="10" t="n">
        <x:f>IF(E257="UNRESOLVED",0,1)</x:f>
        <x:v>1</x:v>
      </x:c>
      <x:c r="H257" s="10" t="n">
        <x:f>IF(G257=0,"unscored",IF(D257=E257,1,0))</x:f>
        <x:v>1</x:v>
      </x:c>
      <x:c r="I257" s="10" t="n">
        <x:f>IF(D257=F257,1,0)</x:f>
        <x:v>1</x:v>
      </x:c>
      <x:c r="J257" s="10" t="n">
        <x:f>IF(G257=0,"excluded",I257)</x:f>
        <x:v>1</x:v>
      </x:c>
      <x:c r="K257" s="10" t="str">
        <x:f>IF(F257="SELF_CARE",IF(D257="SELF_CARE","TN","FP"),IF(D257="SELF_CARE","FN","TP"))</x:f>
        <x:v>TP</x:v>
      </x:c>
      <x:c r="L257" s="9" t="str">
        <x:v>Refill request for sumatriptan for a typical, recurrent migraine matching the patient's usual pattern; no red flags (no thunderclap onset, neuro deficits, fever/stiff neck, or new/worst headache) reported.</x:v>
      </x:c>
      <x:c r="M257" s="9" t="str">
        <x:v>outputs/stripped-3bucket-fable-max-2026-09-15/C50-parsed.json</x:v>
      </x:c>
    </x:row>
    <x:row r="258" ht="44" customHeight="1">
      <x:c r="A258" s="9" t="str">
        <x:v>Historical Opus, collapsed</x:v>
      </x:c>
      <x:c r="B258" s="9" t="str">
        <x:v>C01</x:v>
      </x:c>
      <x:c r="C258" s="9" t="str">
        <x:v>SELF_CARE</x:v>
      </x:c>
      <x:c r="D258" s="9" t="str">
        <x:v>SELF_CARE</x:v>
      </x:c>
      <x:c r="E258" s="9" t="str">
        <x:f>VLOOKUP(B258,Reference!$A$8:$F$57,4,FALSE)</x:f>
        <x:v>SELF_CARE</x:v>
      </x:c>
      <x:c r="F258" s="9" t="str">
        <x:f>VLOOKUP(B258,Reference!$A$8:$F$57,5,FALSE)</x:f>
        <x:v>SELF_CARE</x:v>
      </x:c>
      <x:c r="G258" s="10" t="n">
        <x:f>IF(E258="UNRESOLVED",0,1)</x:f>
        <x:v>1</x:v>
      </x:c>
      <x:c r="H258" s="10" t="n">
        <x:f>IF(G258=0,"unscored",IF(D258=E258,1,0))</x:f>
        <x:v>1</x:v>
      </x:c>
      <x:c r="I258" s="10" t="n">
        <x:f>IF(D258=F258,1,0)</x:f>
        <x:v>1</x:v>
      </x:c>
      <x:c r="J258" s="10" t="n">
        <x:f>IF(G258=0,"excluded",I258)</x:f>
        <x:v>1</x:v>
      </x:c>
      <x:c r="K258" s="10" t="str">
        <x:f>IF(F258="SELF_CARE",IF(D258="SELF_CARE","TN","FP"),IF(D258="SELF_CARE","FN","TP"))</x:f>
        <x:v>TN</x:v>
      </x:c>
      <x:c r="L258" s="9" t="str">
        <x:v>Mild, short-duration upper respiratory symptoms with no fever, normal intake, and no red flags; supportive self-care and monitoring are appropriate without clinician involvement now.</x:v>
      </x:c>
      <x:c r="M258" s="9" t="str">
        <x:v>outputs/stripped-baseline-2026-09-15/C01-parsed.json</x:v>
      </x:c>
    </x:row>
    <x:row r="259" ht="56" customHeight="1">
      <x:c r="A259" s="9" t="str">
        <x:v>Historical Opus, collapsed</x:v>
      </x:c>
      <x:c r="B259" s="9" t="str">
        <x:v>C02</x:v>
      </x:c>
      <x:c r="C259" s="9" t="str">
        <x:v>EMERGENCY_NOW</x:v>
      </x:c>
      <x:c r="D259" s="9" t="str">
        <x:v>URGENT_ESCALATION</x:v>
      </x:c>
      <x:c r="E259" s="9" t="str">
        <x:f>VLOOKUP(B259,Reference!$A$8:$F$57,4,FALSE)</x:f>
        <x:v>URGENT_ESCALATION</x:v>
      </x:c>
      <x:c r="F259" s="9" t="str">
        <x:f>VLOOKUP(B259,Reference!$A$8:$F$57,5,FALSE)</x:f>
        <x:v>URGENT_ESCALATION</x:v>
      </x:c>
      <x:c r="G259" s="10" t="n">
        <x:f>IF(E259="UNRESOLVED",0,1)</x:f>
        <x:v>1</x:v>
      </x:c>
      <x:c r="H259" s="10" t="n">
        <x:f>IF(G259=0,"unscored",IF(D259=E259,1,0))</x:f>
        <x:v>1</x:v>
      </x:c>
      <x:c r="I259" s="10" t="n">
        <x:f>IF(D259=F259,1,0)</x:f>
        <x:v>1</x:v>
      </x:c>
      <x:c r="J259" s="10" t="n">
        <x:f>IF(G259=0,"excluded",I259)</x:f>
        <x:v>1</x:v>
      </x:c>
      <x:c r="K259" s="10" t="str">
        <x:f>IF(F259="SELF_CARE",IF(D259="SELF_CARE","TN","FP"),IF(D259="SELF_CARE","FN","TP"))</x:f>
        <x:v>TP</x:v>
      </x:c>
      <x:c r="L259" s="9" t="str">
        <x:v>Crushing central chest pressure for 30 minutes with radiation to the left arm, diaphoresis, and nausea in a 45-year-old male with hyperlipidemia is a classic acute coronary syndrome presentation requiring immediate emergency services activation.</x:v>
      </x:c>
      <x:c r="M259" s="9" t="str">
        <x:v>outputs/stripped-baseline-2026-09-15/C02-parsed.json</x:v>
      </x:c>
    </x:row>
    <x:row r="260" ht="56" customHeight="1">
      <x:c r="A260" s="9" t="str">
        <x:v>Historical Opus, collapsed</x:v>
      </x:c>
      <x:c r="B260" s="9" t="str">
        <x:v>C03</x:v>
      </x:c>
      <x:c r="C260" s="9" t="str">
        <x:v>PRIORITY_ASYNC</x:v>
      </x:c>
      <x:c r="D260" s="9" t="str">
        <x:v>ASYNC_PHYSICIAN</x:v>
      </x:c>
      <x:c r="E260" s="9" t="str">
        <x:f>VLOOKUP(B260,Reference!$A$8:$F$57,4,FALSE)</x:f>
        <x:v>ASYNC_PHYSICIAN</x:v>
      </x:c>
      <x:c r="F260" s="9" t="str">
        <x:f>VLOOKUP(B260,Reference!$A$8:$F$57,5,FALSE)</x:f>
        <x:v>ASYNC_PHYSICIAN</x:v>
      </x:c>
      <x:c r="G260" s="10" t="n">
        <x:f>IF(E260="UNRESOLVED",0,1)</x:f>
        <x:v>1</x:v>
      </x:c>
      <x:c r="H260" s="10" t="n">
        <x:f>IF(G260=0,"unscored",IF(D260=E260,1,0))</x:f>
        <x:v>1</x:v>
      </x:c>
      <x:c r="I260" s="10" t="n">
        <x:f>IF(D260=F260,1,0)</x:f>
        <x:v>1</x:v>
      </x:c>
      <x:c r="J260" s="10" t="n">
        <x:f>IF(G260=0,"excluded",I260)</x:f>
        <x:v>1</x:v>
      </x:c>
      <x:c r="K260" s="10" t="str">
        <x:f>IF(F260="SELF_CARE",IF(D260="SELF_CARE","TN","FP"),IF(D260="SELF_CARE","FN","TP"))</x:f>
        <x:v>TP</x:v>
      </x:c>
      <x:c r="L260" s="9" t="str">
        <x:v>Classic uncomplicated lower UTI in a non-pregnant woman with prior similar episodes, no fever or flank pain suggesting pyelonephritis. Symptomatic and needs timely clinician review for antibiotic prescribing, but does not require in-person evaluation.</x:v>
      </x:c>
      <x:c r="M260" s="9" t="str">
        <x:v>outputs/stripped-baseline-2026-09-15/C03-parsed.json</x:v>
      </x:c>
    </x:row>
    <x:row r="261" ht="80" customHeight="1">
      <x:c r="A261" s="9" t="str">
        <x:v>Historical Opus, collapsed</x:v>
      </x:c>
      <x:c r="B261" s="9" t="str">
        <x:v>C04</x:v>
      </x:c>
      <x:c r="C261" s="9" t="str">
        <x:v>SAME_DAY_IN_PERSON</x:v>
      </x:c>
      <x:c r="D261" s="9" t="str">
        <x:v>URGENT_ESCALATION</x:v>
      </x:c>
      <x:c r="E261" s="9" t="str">
        <x:f>VLOOKUP(B261,Reference!$A$8:$F$57,4,FALSE)</x:f>
        <x:v>URGENT_ESCALATION</x:v>
      </x:c>
      <x:c r="F261" s="9" t="str">
        <x:f>VLOOKUP(B261,Reference!$A$8:$F$57,5,FALSE)</x:f>
        <x:v>URGENT_ESCALATION</x:v>
      </x:c>
      <x:c r="G261" s="10" t="n">
        <x:f>IF(E261="UNRESOLVED",0,1)</x:f>
        <x:v>1</x:v>
      </x:c>
      <x:c r="H261" s="10" t="n">
        <x:f>IF(G261=0,"unscored",IF(D261=E261,1,0))</x:f>
        <x:v>1</x:v>
      </x:c>
      <x:c r="I261" s="10" t="n">
        <x:f>IF(D261=F261,1,0)</x:f>
        <x:v>1</x:v>
      </x:c>
      <x:c r="J261" s="10" t="n">
        <x:f>IF(G261=0,"excluded",I261)</x:f>
        <x:v>1</x:v>
      </x:c>
      <x:c r="K261" s="10" t="str">
        <x:f>IF(F261="SELF_CARE",IF(D261="SELF_CARE","TN","FP"),IF(D261="SELF_CARE","FN","TP"))</x:f>
        <x:v>TP</x:v>
      </x:c>
      <x:c r="L261" s="9" t="str">
        <x:v>Diabetic patient with a 4-day-old plantar foot wound showing spreading erythema, swelling, and tenderness indicates a developing diabetic foot infection. These wounds carry high risk of rapid progression to deep tissue infection, osteomyelitis, and limb loss, and require same-day in-person wound inspection, probing, possible imaging/cultures, and antibiotic initiation. Absence of fever does not exclude serious infection in diabetics.</x:v>
      </x:c>
      <x:c r="M261" s="9" t="str">
        <x:v>outputs/stripped-baseline-2026-09-15/C04-parsed.json</x:v>
      </x:c>
    </x:row>
    <x:row r="262" ht="68" customHeight="1">
      <x:c r="A262" s="9" t="str">
        <x:v>Historical Opus, collapsed</x:v>
      </x:c>
      <x:c r="B262" s="9" t="str">
        <x:v>C05</x:v>
      </x:c>
      <x:c r="C262" s="9" t="str">
        <x:v>SAME_DAY_IN_PERSON</x:v>
      </x:c>
      <x:c r="D262" s="9" t="str">
        <x:v>URGENT_ESCALATION</x:v>
      </x:c>
      <x:c r="E262" s="9" t="str">
        <x:f>VLOOKUP(B262,Reference!$A$8:$F$57,4,FALSE)</x:f>
        <x:v>URGENT_ESCALATION</x:v>
      </x:c>
      <x:c r="F262" s="9" t="str">
        <x:f>VLOOKUP(B262,Reference!$A$8:$F$57,5,FALSE)</x:f>
        <x:v>URGENT_ESCALATION</x:v>
      </x:c>
      <x:c r="G262" s="10" t="n">
        <x:f>IF(E262="UNRESOLVED",0,1)</x:f>
        <x:v>1</x:v>
      </x:c>
      <x:c r="H262" s="10" t="n">
        <x:f>IF(G262=0,"unscored",IF(D262=E262,1,0))</x:f>
        <x:v>1</x:v>
      </x:c>
      <x:c r="I262" s="10" t="n">
        <x:f>IF(D262=F262,1,0)</x:f>
        <x:v>1</x:v>
      </x:c>
      <x:c r="J262" s="10" t="n">
        <x:f>IF(G262=0,"excluded",I262)</x:f>
        <x:v>1</x:v>
      </x:c>
      <x:c r="K262" s="10" t="str">
        <x:f>IF(F262="SELF_CARE",IF(D262="SELF_CARE","TN","FP"),IF(D262="SELF_CARE","FN","TP"))</x:f>
        <x:v>TP</x:v>
      </x:c>
      <x:c r="L262" s="9" t="str">
        <x:v>Weeks of hopelessness with new passive suicidal ideation ('everyone would be better off without me') is a red-flag symptom requiring same-day in-person mental health evaluation and safety assessment. No stated active plan, intent, or imminent means to warrant emergency activation, but this exceeds what async review can safely handle.</x:v>
      </x:c>
      <x:c r="M262" s="9" t="str">
        <x:v>outputs/stripped-baseline-2026-09-15/C05-parsed.json</x:v>
      </x:c>
    </x:row>
    <x:row r="263" ht="44" customHeight="1">
      <x:c r="A263" s="9" t="str">
        <x:v>Historical Opus, collapsed</x:v>
      </x:c>
      <x:c r="B263" s="9" t="str">
        <x:v>C06</x:v>
      </x:c>
      <x:c r="C263" s="9" t="str">
        <x:v>PRIORITY_ASYNC</x:v>
      </x:c>
      <x:c r="D263" s="9" t="str">
        <x:v>ASYNC_PHYSICIAN</x:v>
      </x:c>
      <x:c r="E263" s="9" t="str">
        <x:f>VLOOKUP(B263,Reference!$A$8:$F$57,4,FALSE)</x:f>
        <x:v>ASYNC_PHYSICIAN</x:v>
      </x:c>
      <x:c r="F263" s="9" t="str">
        <x:f>VLOOKUP(B263,Reference!$A$8:$F$57,5,FALSE)</x:f>
        <x:v>ASYNC_PHYSICIAN</x:v>
      </x:c>
      <x:c r="G263" s="10" t="n">
        <x:f>IF(E263="UNRESOLVED",0,1)</x:f>
        <x:v>1</x:v>
      </x:c>
      <x:c r="H263" s="10" t="n">
        <x:f>IF(G263=0,"unscored",IF(D263=E263,1,0))</x:f>
        <x:v>1</x:v>
      </x:c>
      <x:c r="I263" s="10" t="n">
        <x:f>IF(D263=F263,1,0)</x:f>
        <x:v>1</x:v>
      </x:c>
      <x:c r="J263" s="10" t="n">
        <x:f>IF(G263=0,"excluded",I263)</x:f>
        <x:v>1</x:v>
      </x:c>
      <x:c r="K263" s="10" t="str">
        <x:f>IF(F263="SELF_CARE",IF(D263="SELF_CARE","TN","FP"),IF(D263="SELF_CARE","FN","TP"))</x:f>
        <x:v>TP</x:v>
      </x:c>
      <x:c r="L263" s="9" t="str">
        <x:v>Routine refill request for a chronic antihypertensive with stable, well-controlled home BP and no new symptoms; requires time-sensitive async clinician review for prescribing to avoid therapy lapse.</x:v>
      </x:c>
      <x:c r="M263" s="9" t="str">
        <x:v>outputs/stripped-baseline-2026-09-15/C06-parsed.json</x:v>
      </x:c>
    </x:row>
    <x:row r="264" ht="80" customHeight="1">
      <x:c r="A264" s="9" t="str">
        <x:v>Historical Opus, collapsed</x:v>
      </x:c>
      <x:c r="B264" s="9" t="str">
        <x:v>C07</x:v>
      </x:c>
      <x:c r="C264" s="9" t="str">
        <x:v>STANDARD_ASYNC</x:v>
      </x:c>
      <x:c r="D264" s="9" t="str">
        <x:v>ASYNC_PHYSICIAN</x:v>
      </x:c>
      <x:c r="E264" s="9" t="str">
        <x:f>VLOOKUP(B264,Reference!$A$8:$F$57,4,FALSE)</x:f>
        <x:v>ASYNC_PHYSICIAN</x:v>
      </x:c>
      <x:c r="F264" s="9" t="str">
        <x:f>VLOOKUP(B264,Reference!$A$8:$F$57,5,FALSE)</x:f>
        <x:v>ASYNC_PHYSICIAN</x:v>
      </x:c>
      <x:c r="G264" s="10" t="n">
        <x:f>IF(E264="UNRESOLVED",0,1)</x:f>
        <x:v>1</x:v>
      </x:c>
      <x:c r="H264" s="10" t="n">
        <x:f>IF(G264=0,"unscored",IF(D264=E264,1,0))</x:f>
        <x:v>1</x:v>
      </x:c>
      <x:c r="I264" s="10" t="n">
        <x:f>IF(D264=F264,1,0)</x:f>
        <x:v>1</x:v>
      </x:c>
      <x:c r="J264" s="10" t="n">
        <x:f>IF(G264=0,"excluded",I264)</x:f>
        <x:v>1</x:v>
      </x:c>
      <x:c r="K264" s="10" t="str">
        <x:f>IF(F264="SELF_CARE",IF(D264="SELF_CARE","TN","FP"),IF(D264="SELF_CARE","FN","TP"))</x:f>
        <x:v>TP</x:v>
      </x:c>
      <x:c r="L264" s="9" t="str">
        <x:v>A 3-year-old with 2 days of fever to 102F who is well-hydrated, playful between fevers, and without rash has no red flags requiring urgent or in-person evaluation today. Routine asynchronous clinician review is appropriate to advise on antipyretic dosing, hydration, and criteria for escalation (e.g., fever beyond 5 days, poor fluid intake, decreased urine output, lethargy, rash, or difficulty breathing).</x:v>
      </x:c>
      <x:c r="M264" s="9" t="str">
        <x:v>outputs/stripped-baseline-2026-09-15/C07-parsed.json</x:v>
      </x:c>
    </x:row>
    <x:row r="265" ht="44" customHeight="1">
      <x:c r="A265" s="9" t="str">
        <x:v>Historical Opus, collapsed</x:v>
      </x:c>
      <x:c r="B265" s="9" t="str">
        <x:v>C08</x:v>
      </x:c>
      <x:c r="C265" s="9" t="str">
        <x:v>EMERGENCY_NOW</x:v>
      </x:c>
      <x:c r="D265" s="9" t="str">
        <x:v>URGENT_ESCALATION</x:v>
      </x:c>
      <x:c r="E265" s="9" t="str">
        <x:f>VLOOKUP(B265,Reference!$A$8:$F$57,4,FALSE)</x:f>
        <x:v>URGENT_ESCALATION</x:v>
      </x:c>
      <x:c r="F265" s="9" t="str">
        <x:f>VLOOKUP(B265,Reference!$A$8:$F$57,5,FALSE)</x:f>
        <x:v>URGENT_ESCALATION</x:v>
      </x:c>
      <x:c r="G265" s="10" t="n">
        <x:f>IF(E265="UNRESOLVED",0,1)</x:f>
        <x:v>1</x:v>
      </x:c>
      <x:c r="H265" s="10" t="n">
        <x:f>IF(G265=0,"unscored",IF(D265=E265,1,0))</x:f>
        <x:v>1</x:v>
      </x:c>
      <x:c r="I265" s="10" t="n">
        <x:f>IF(D265=F265,1,0)</x:f>
        <x:v>1</x:v>
      </x:c>
      <x:c r="J265" s="10" t="n">
        <x:f>IF(G265=0,"excluded",I265)</x:f>
        <x:v>1</x:v>
      </x:c>
      <x:c r="K265" s="10" t="str">
        <x:f>IF(F265="SELF_CARE",IF(D265="SELF_CARE","TN","FP"),IF(D265="SELF_CARE","FN","TP"))</x:f>
        <x:v>TP</x:v>
      </x:c>
      <x:c r="L265" s="9" t="str">
        <x:v>Sudden thunderclap headache described as worst of life with onset at rest and new neck stiffness is a classic presentation for subarachnoid hemorrhage/meningeal irritation; requires immediate emergency evaluation with imaging.</x:v>
      </x:c>
      <x:c r="M265" s="9" t="str">
        <x:v>outputs/stripped-baseline-2026-09-15/C08-parsed.json</x:v>
      </x:c>
    </x:row>
    <x:row r="266" ht="56" customHeight="1">
      <x:c r="A266" s="9" t="str">
        <x:v>Historical Opus, collapsed</x:v>
      </x:c>
      <x:c r="B266" s="9" t="str">
        <x:v>C09</x:v>
      </x:c>
      <x:c r="C266" s="9" t="str">
        <x:v>EMERGENCY_NOW</x:v>
      </x:c>
      <x:c r="D266" s="9" t="str">
        <x:v>URGENT_ESCALATION</x:v>
      </x:c>
      <x:c r="E266" s="9" t="str">
        <x:f>VLOOKUP(B266,Reference!$A$8:$F$57,4,FALSE)</x:f>
        <x:v>URGENT_ESCALATION</x:v>
      </x:c>
      <x:c r="F266" s="9" t="str">
        <x:f>VLOOKUP(B266,Reference!$A$8:$F$57,5,FALSE)</x:f>
        <x:v>URGENT_ESCALATION</x:v>
      </x:c>
      <x:c r="G266" s="10" t="n">
        <x:f>IF(E266="UNRESOLVED",0,1)</x:f>
        <x:v>1</x:v>
      </x:c>
      <x:c r="H266" s="10" t="n">
        <x:f>IF(G266=0,"unscored",IF(D266=E266,1,0))</x:f>
        <x:v>1</x:v>
      </x:c>
      <x:c r="I266" s="10" t="n">
        <x:f>IF(D266=F266,1,0)</x:f>
        <x:v>1</x:v>
      </x:c>
      <x:c r="J266" s="10" t="n">
        <x:f>IF(G266=0,"excluded",I266)</x:f>
        <x:v>1</x:v>
      </x:c>
      <x:c r="K266" s="10" t="str">
        <x:f>IF(F266="SELF_CARE",IF(D266="SELF_CARE","TN","FP"),IF(D266="SELF_CARE","FN","TP"))</x:f>
        <x:v>TP</x:v>
      </x:c>
      <x:c r="L266" s="9" t="str">
        <x:v>32 weeks pregnant with persistent severe headache, visual disturbance, and facial/hand edema — classic features of severe preeclampsia with risk of eclampsia, stroke, and HELLP. Requires immediate emergency obstetric evaluation, not async review.</x:v>
      </x:c>
      <x:c r="M266" s="9" t="str">
        <x:v>outputs/stripped-baseline-2026-09-15/C09-parsed.json</x:v>
      </x:c>
    </x:row>
    <x:row r="267" ht="44" customHeight="1">
      <x:c r="A267" s="9" t="str">
        <x:v>Historical Opus, collapsed</x:v>
      </x:c>
      <x:c r="B267" s="9" t="str">
        <x:v>C10</x:v>
      </x:c>
      <x:c r="C267" s="9" t="str">
        <x:v>STANDARD_ASYNC</x:v>
      </x:c>
      <x:c r="D267" s="9" t="str">
        <x:v>ASYNC_PHYSICIAN</x:v>
      </x:c>
      <x:c r="E267" s="9" t="str">
        <x:f>VLOOKUP(B267,Reference!$A$8:$F$57,4,FALSE)</x:f>
        <x:v>ASYNC_PHYSICIAN</x:v>
      </x:c>
      <x:c r="F267" s="9" t="str">
        <x:f>VLOOKUP(B267,Reference!$A$8:$F$57,5,FALSE)</x:f>
        <x:v>ASYNC_PHYSICIAN</x:v>
      </x:c>
      <x:c r="G267" s="10" t="n">
        <x:f>IF(E267="UNRESOLVED",0,1)</x:f>
        <x:v>1</x:v>
      </x:c>
      <x:c r="H267" s="10" t="n">
        <x:f>IF(G267=0,"unscored",IF(D267=E267,1,0))</x:f>
        <x:v>1</x:v>
      </x:c>
      <x:c r="I267" s="10" t="n">
        <x:f>IF(D267=F267,1,0)</x:f>
        <x:v>1</x:v>
      </x:c>
      <x:c r="J267" s="10" t="n">
        <x:f>IF(G267=0,"excluded",I267)</x:f>
        <x:v>1</x:v>
      </x:c>
      <x:c r="K267" s="10" t="str">
        <x:f>IF(F267="SELF_CARE",IF(D267="SELF_CARE","TN","FP"),IF(D267="SELF_CARE","FN","TP"))</x:f>
        <x:v>TP</x:v>
      </x:c>
      <x:c r="L267" s="9" t="str">
        <x:v>Intermittent postprandial right upper quadrant pain over weeks without fever, jaundice, or acute severe pain suggests uncomplicated biliary colic; routine async review for evaluation and ultrasound ordering is appropriate.</x:v>
      </x:c>
      <x:c r="M267" s="9" t="str">
        <x:v>outputs/stripped-baseline-2026-09-15/C10-parsed.json</x:v>
      </x:c>
    </x:row>
    <x:row r="268" ht="44" customHeight="1">
      <x:c r="A268" s="9" t="str">
        <x:v>Historical Opus, collapsed</x:v>
      </x:c>
      <x:c r="B268" s="9" t="str">
        <x:v>C11</x:v>
      </x:c>
      <x:c r="C268" s="9" t="str">
        <x:v>SELF_CARE</x:v>
      </x:c>
      <x:c r="D268" s="9" t="str">
        <x:v>SELF_CARE</x:v>
      </x:c>
      <x:c r="E268" s="9" t="str">
        <x:f>VLOOKUP(B268,Reference!$A$8:$F$57,4,FALSE)</x:f>
        <x:v>SELF_CARE</x:v>
      </x:c>
      <x:c r="F268" s="9" t="str">
        <x:f>VLOOKUP(B268,Reference!$A$8:$F$57,5,FALSE)</x:f>
        <x:v>SELF_CARE</x:v>
      </x:c>
      <x:c r="G268" s="10" t="n">
        <x:f>IF(E268="UNRESOLVED",0,1)</x:f>
        <x:v>1</x:v>
      </x:c>
      <x:c r="H268" s="10" t="n">
        <x:f>IF(G268=0,"unscored",IF(D268=E268,1,0))</x:f>
        <x:v>1</x:v>
      </x:c>
      <x:c r="I268" s="10" t="n">
        <x:f>IF(D268=F268,1,0)</x:f>
        <x:v>1</x:v>
      </x:c>
      <x:c r="J268" s="10" t="n">
        <x:f>IF(G268=0,"excluded",I268)</x:f>
        <x:v>1</x:v>
      </x:c>
      <x:c r="K268" s="10" t="str">
        <x:f>IF(F268="SELF_CARE",IF(D268="SELF_CARE","TN","FP"),IF(D268="SELF_CARE","FN","TP"))</x:f>
        <x:v>TN</x:v>
      </x:c>
      <x:c r="L268" s="9" t="str">
        <x:v>Localized, non-spreading itchy rash after likely plant/contact exposure, with no systemic or airway symptoms. Suitable for self-care with OTC antihistamine or topical hydrocortisone and monitoring for spread or worsening.</x:v>
      </x:c>
      <x:c r="M268" s="9" t="str">
        <x:v>outputs/stripped-baseline-2026-09-15/C11-parsed.json</x:v>
      </x:c>
    </x:row>
    <x:row r="269" ht="92" customHeight="1">
      <x:c r="A269" s="9" t="str">
        <x:v>Historical Opus, collapsed</x:v>
      </x:c>
      <x:c r="B269" s="9" t="str">
        <x:v>C12</x:v>
      </x:c>
      <x:c r="C269" s="9" t="str">
        <x:v>SAME_DAY_IN_PERSON</x:v>
      </x:c>
      <x:c r="D269" s="9" t="str">
        <x:v>URGENT_ESCALATION</x:v>
      </x:c>
      <x:c r="E269" s="9" t="str">
        <x:f>VLOOKUP(B269,Reference!$A$8:$F$57,4,FALSE)</x:f>
        <x:v>URGENT_ESCALATION</x:v>
      </x:c>
      <x:c r="F269" s="9" t="str">
        <x:f>VLOOKUP(B269,Reference!$A$8:$F$57,5,FALSE)</x:f>
        <x:v>URGENT_ESCALATION</x:v>
      </x:c>
      <x:c r="G269" s="10" t="n">
        <x:f>IF(E269="UNRESOLVED",0,1)</x:f>
        <x:v>1</x:v>
      </x:c>
      <x:c r="H269" s="10" t="n">
        <x:f>IF(G269=0,"unscored",IF(D269=E269,1,0))</x:f>
        <x:v>1</x:v>
      </x:c>
      <x:c r="I269" s="10" t="n">
        <x:f>IF(D269=F269,1,0)</x:f>
        <x:v>1</x:v>
      </x:c>
      <x:c r="J269" s="10" t="n">
        <x:f>IF(G269=0,"excluded",I269)</x:f>
        <x:v>1</x:v>
      </x:c>
      <x:c r="K269" s="10" t="str">
        <x:f>IF(F269="SELF_CARE",IF(D269="SELF_CARE","TN","FP"),IF(D269="SELF_CARE","FN","TP"))</x:f>
        <x:v>TP</x:v>
      </x:c>
      <x:c r="L269" s="9" t="str">
        <x:v>68-year-old with COPD reporting 2 days of progressive dyspnea now occurring with minimal exertion (walking to bathroom) plus purulent green sputum — findings consistent with an acute COPD exacerbation, likely infective. Needs same-day in-person assessment with oxygen saturation measurement, lung exam, and consideration of steroids/antibiotics; this exceeds what async review can safely manage, but she is not describing frank respiratory failure (no confusion, cyanosis, or inability to speak) requiring immediate emergency activation.</x:v>
      </x:c>
      <x:c r="M269" s="9" t="str">
        <x:v>outputs/stripped-baseline-2026-09-15/C12-parsed.json</x:v>
      </x:c>
    </x:row>
    <x:row r="270" ht="56" customHeight="1">
      <x:c r="A270" s="9" t="str">
        <x:v>Historical Opus, collapsed</x:v>
      </x:c>
      <x:c r="B270" s="9" t="str">
        <x:v>C13</x:v>
      </x:c>
      <x:c r="C270" s="9" t="str">
        <x:v>STANDARD_ASYNC</x:v>
      </x:c>
      <x:c r="D270" s="9" t="str">
        <x:v>ASYNC_PHYSICIAN</x:v>
      </x:c>
      <x:c r="E270" s="9" t="str">
        <x:f>VLOOKUP(B270,Reference!$A$8:$F$57,4,FALSE)</x:f>
        <x:v>ASYNC_PHYSICIAN</x:v>
      </x:c>
      <x:c r="F270" s="9" t="str">
        <x:f>VLOOKUP(B270,Reference!$A$8:$F$57,5,FALSE)</x:f>
        <x:v>ASYNC_PHYSICIAN</x:v>
      </x:c>
      <x:c r="G270" s="10" t="n">
        <x:f>IF(E270="UNRESOLVED",0,1)</x:f>
        <x:v>1</x:v>
      </x:c>
      <x:c r="H270" s="10" t="n">
        <x:f>IF(G270=0,"unscored",IF(D270=E270,1,0))</x:f>
        <x:v>1</x:v>
      </x:c>
      <x:c r="I270" s="10" t="n">
        <x:f>IF(D270=F270,1,0)</x:f>
        <x:v>1</x:v>
      </x:c>
      <x:c r="J270" s="10" t="n">
        <x:f>IF(G270=0,"excluded",I270)</x:f>
        <x:v>1</x:v>
      </x:c>
      <x:c r="K270" s="10" t="str">
        <x:f>IF(F270="SELF_CARE",IF(D270="SELF_CARE","TN","FP"),IF(D270="SELF_CARE","FN","TP"))</x:f>
        <x:v>TP</x:v>
      </x:c>
      <x:c r="L270" s="9" t="str">
        <x:v>Several days of unilateral hand numbness/tingling worse at night suggests a peripheral compressive neuropathy (e.g., carpal tunnel) rather than acute stroke; no weakness, facial droop, or speech change reported. Routine async clinician review for evaluation and management is appropriate.</x:v>
      </x:c>
      <x:c r="M270" s="9" t="str">
        <x:v>outputs/stripped-baseline-2026-09-15/C13-parsed.json</x:v>
      </x:c>
    </x:row>
    <x:row r="271" ht="44" customHeight="1">
      <x:c r="A271" s="9" t="str">
        <x:v>Historical Opus, collapsed</x:v>
      </x:c>
      <x:c r="B271" s="9" t="str">
        <x:v>C14</x:v>
      </x:c>
      <x:c r="C271" s="9" t="str">
        <x:v>EMERGENCY_NOW</x:v>
      </x:c>
      <x:c r="D271" s="9" t="str">
        <x:v>URGENT_ESCALATION</x:v>
      </x:c>
      <x:c r="E271" s="9" t="str">
        <x:f>VLOOKUP(B271,Reference!$A$8:$F$57,4,FALSE)</x:f>
        <x:v>URGENT_ESCALATION</x:v>
      </x:c>
      <x:c r="F271" s="9" t="str">
        <x:f>VLOOKUP(B271,Reference!$A$8:$F$57,5,FALSE)</x:f>
        <x:v>URGENT_ESCALATION</x:v>
      </x:c>
      <x:c r="G271" s="10" t="n">
        <x:f>IF(E271="UNRESOLVED",0,1)</x:f>
        <x:v>1</x:v>
      </x:c>
      <x:c r="H271" s="10" t="n">
        <x:f>IF(G271=0,"unscored",IF(D271=E271,1,0))</x:f>
        <x:v>1</x:v>
      </x:c>
      <x:c r="I271" s="10" t="n">
        <x:f>IF(D271=F271,1,0)</x:f>
        <x:v>1</x:v>
      </x:c>
      <x:c r="J271" s="10" t="n">
        <x:f>IF(G271=0,"excluded",I271)</x:f>
        <x:v>1</x:v>
      </x:c>
      <x:c r="K271" s="10" t="str">
        <x:f>IF(F271="SELF_CARE",IF(D271="SELF_CARE","TN","FP"),IF(D271="SELF_CARE","FN","TP"))</x:f>
        <x:v>TP</x:v>
      </x:c>
      <x:c r="L271" s="9" t="str">
        <x:v>Rapid-onset symptoms after shellfish ingestion with lip/tongue swelling, throat tightness, and hives indicate anaphylaxis with airway involvement — requires immediate epinephrine and emergency services.</x:v>
      </x:c>
      <x:c r="M271" s="9" t="str">
        <x:v>outputs/stripped-baseline-2026-09-15/C14-parsed.json</x:v>
      </x:c>
    </x:row>
    <x:row r="272" ht="44" customHeight="1">
      <x:c r="A272" s="9" t="str">
        <x:v>Historical Opus, collapsed</x:v>
      </x:c>
      <x:c r="B272" s="9" t="str">
        <x:v>C15</x:v>
      </x:c>
      <x:c r="C272" s="9" t="str">
        <x:v>STANDARD_ASYNC</x:v>
      </x:c>
      <x:c r="D272" s="9" t="str">
        <x:v>ASYNC_PHYSICIAN</x:v>
      </x:c>
      <x:c r="E272" s="9" t="str">
        <x:f>VLOOKUP(B272,Reference!$A$8:$F$57,4,FALSE)</x:f>
        <x:v>ASYNC_PHYSICIAN</x:v>
      </x:c>
      <x:c r="F272" s="9" t="str">
        <x:f>VLOOKUP(B272,Reference!$A$8:$F$57,5,FALSE)</x:f>
        <x:v>ASYNC_PHYSICIAN</x:v>
      </x:c>
      <x:c r="G272" s="10" t="n">
        <x:f>IF(E272="UNRESOLVED",0,1)</x:f>
        <x:v>1</x:v>
      </x:c>
      <x:c r="H272" s="10" t="n">
        <x:f>IF(G272=0,"unscored",IF(D272=E272,1,0))</x:f>
        <x:v>1</x:v>
      </x:c>
      <x:c r="I272" s="10" t="n">
        <x:f>IF(D272=F272,1,0)</x:f>
        <x:v>1</x:v>
      </x:c>
      <x:c r="J272" s="10" t="n">
        <x:f>IF(G272=0,"excluded",I272)</x:f>
        <x:v>1</x:v>
      </x:c>
      <x:c r="K272" s="10" t="str">
        <x:f>IF(F272="SELF_CARE",IF(D272="SELF_CARE","TN","FP"),IF(D272="SELF_CARE","FN","TP"))</x:f>
        <x:v>TP</x:v>
      </x:c>
      <x:c r="L272" s="9" t="str">
        <x:v>Asymptomatic patient requesting routine STI screening after a new partner; this is preventive care that can be arranged through routine asynchronous clinician review and lab ordering, with no red-flag or time-critical features.</x:v>
      </x:c>
      <x:c r="M272" s="9" t="str">
        <x:v>outputs/stripped-baseline-2026-09-15/C15-parsed.json</x:v>
      </x:c>
    </x:row>
    <x:row r="273" ht="44" customHeight="1">
      <x:c r="A273" s="9" t="str">
        <x:v>Historical Opus, collapsed</x:v>
      </x:c>
      <x:c r="B273" s="9" t="str">
        <x:v>C16</x:v>
      </x:c>
      <x:c r="C273" s="9" t="str">
        <x:v>SAME_DAY_IN_PERSON</x:v>
      </x:c>
      <x:c r="D273" s="9" t="str">
        <x:v>URGENT_ESCALATION</x:v>
      </x:c>
      <x:c r="E273" s="9" t="str">
        <x:f>VLOOKUP(B273,Reference!$A$8:$F$57,4,FALSE)</x:f>
        <x:v>URGENT_ESCALATION</x:v>
      </x:c>
      <x:c r="F273" s="9" t="str">
        <x:f>VLOOKUP(B273,Reference!$A$8:$F$57,5,FALSE)</x:f>
        <x:v>URGENT_ESCALATION</x:v>
      </x:c>
      <x:c r="G273" s="10" t="n">
        <x:f>IF(E273="UNRESOLVED",0,1)</x:f>
        <x:v>1</x:v>
      </x:c>
      <x:c r="H273" s="10" t="n">
        <x:f>IF(G273=0,"unscored",IF(D273=E273,1,0))</x:f>
        <x:v>1</x:v>
      </x:c>
      <x:c r="I273" s="10" t="n">
        <x:f>IF(D273=F273,1,0)</x:f>
        <x:v>1</x:v>
      </x:c>
      <x:c r="J273" s="10" t="n">
        <x:f>IF(G273=0,"excluded",I273)</x:f>
        <x:v>1</x:v>
      </x:c>
      <x:c r="K273" s="10" t="str">
        <x:f>IF(F273="SELF_CARE",IF(D273="SELF_CARE","TN","FP"),IF(D273="SELF_CARE","FN","TP"))</x:f>
        <x:v>TP</x:v>
      </x:c>
      <x:c r="L273" s="9" t="str">
        <x:v>Infant under 1 year with fever plus reduced feeding and decreased wet diapers suggests early dehydration and requires same-day in-person assessment of hydration status and source of fever.</x:v>
      </x:c>
      <x:c r="M273" s="9" t="str">
        <x:v>outputs/stripped-baseline-2026-09-15/C16-parsed.json</x:v>
      </x:c>
    </x:row>
    <x:row r="274" ht="56" customHeight="1">
      <x:c r="A274" s="9" t="str">
        <x:v>Historical Opus, collapsed</x:v>
      </x:c>
      <x:c r="B274" s="9" t="str">
        <x:v>C17</x:v>
      </x:c>
      <x:c r="C274" s="9" t="str">
        <x:v>EMERGENCY_NOW</x:v>
      </x:c>
      <x:c r="D274" s="9" t="str">
        <x:v>URGENT_ESCALATION</x:v>
      </x:c>
      <x:c r="E274" s="9" t="str">
        <x:f>VLOOKUP(B274,Reference!$A$8:$F$57,4,FALSE)</x:f>
        <x:v>URGENT_ESCALATION</x:v>
      </x:c>
      <x:c r="F274" s="9" t="str">
        <x:f>VLOOKUP(B274,Reference!$A$8:$F$57,5,FALSE)</x:f>
        <x:v>URGENT_ESCALATION</x:v>
      </x:c>
      <x:c r="G274" s="10" t="n">
        <x:f>IF(E274="UNRESOLVED",0,1)</x:f>
        <x:v>1</x:v>
      </x:c>
      <x:c r="H274" s="10" t="n">
        <x:f>IF(G274=0,"unscored",IF(D274=E274,1,0))</x:f>
        <x:v>1</x:v>
      </x:c>
      <x:c r="I274" s="10" t="n">
        <x:f>IF(D274=F274,1,0)</x:f>
        <x:v>1</x:v>
      </x:c>
      <x:c r="J274" s="10" t="n">
        <x:f>IF(G274=0,"excluded",I274)</x:f>
        <x:v>1</x:v>
      </x:c>
      <x:c r="K274" s="10" t="str">
        <x:f>IF(F274="SELF_CARE",IF(D274="SELF_CARE","TN","FP"),IF(D274="SELF_CARE","FN","TP"))</x:f>
        <x:v>TP</x:v>
      </x:c>
      <x:c r="L274" s="9" t="str">
        <x:v>New urinary retention/incontinence and saddle anesthesia one week after a lifting back injury are classic red flags for cauda equina syndrome, which requires immediate emergency evaluation and imaging to prevent permanent neurologic damage.</x:v>
      </x:c>
      <x:c r="M274" s="9" t="str">
        <x:v>outputs/stripped-baseline-2026-09-15/C17-parsed.json</x:v>
      </x:c>
    </x:row>
    <x:row r="275" ht="56" customHeight="1">
      <x:c r="A275" s="9" t="str">
        <x:v>Historical Opus, collapsed</x:v>
      </x:c>
      <x:c r="B275" s="9" t="str">
        <x:v>C18</x:v>
      </x:c>
      <x:c r="C275" s="9" t="str">
        <x:v>PRIORITY_ASYNC</x:v>
      </x:c>
      <x:c r="D275" s="9" t="str">
        <x:v>ASYNC_PHYSICIAN</x:v>
      </x:c>
      <x:c r="E275" s="9" t="str">
        <x:f>VLOOKUP(B275,Reference!$A$8:$F$57,4,FALSE)</x:f>
        <x:v>ASYNC_PHYSICIAN</x:v>
      </x:c>
      <x:c r="F275" s="9" t="str">
        <x:f>VLOOKUP(B275,Reference!$A$8:$F$57,5,FALSE)</x:f>
        <x:v>ASYNC_PHYSICIAN</x:v>
      </x:c>
      <x:c r="G275" s="10" t="n">
        <x:f>IF(E275="UNRESOLVED",0,1)</x:f>
        <x:v>1</x:v>
      </x:c>
      <x:c r="H275" s="10" t="n">
        <x:f>IF(G275=0,"unscored",IF(D275=E275,1,0))</x:f>
        <x:v>1</x:v>
      </x:c>
      <x:c r="I275" s="10" t="n">
        <x:f>IF(D275=F275,1,0)</x:f>
        <x:v>1</x:v>
      </x:c>
      <x:c r="J275" s="10" t="n">
        <x:f>IF(G275=0,"excluded",I275)</x:f>
        <x:v>1</x:v>
      </x:c>
      <x:c r="K275" s="10" t="str">
        <x:f>IF(F275="SELF_CARE",IF(D275="SELF_CARE","TN","FP"),IF(D275="SELF_CARE","FN","TP"))</x:f>
        <x:v>TP</x:v>
      </x:c>
      <x:c r="L275" s="9" t="str">
        <x:v>Routine albuterol inhaler refill requires clinician prescribing assessment; patient reports stable, infrequent use (about once weekly) with no recent exacerbations or red-flag symptoms, so async review is appropriate rather than in-person or emergency care.</x:v>
      </x:c>
      <x:c r="M275" s="9" t="str">
        <x:v>outputs/stripped-baseline-2026-09-15/C18-parsed.json</x:v>
      </x:c>
    </x:row>
    <x:row r="276" ht="56" customHeight="1">
      <x:c r="A276" s="9" t="str">
        <x:v>Historical Opus, collapsed</x:v>
      </x:c>
      <x:c r="B276" s="9" t="str">
        <x:v>C19</x:v>
      </x:c>
      <x:c r="C276" s="9" t="str">
        <x:v>STANDARD_ASYNC</x:v>
      </x:c>
      <x:c r="D276" s="9" t="str">
        <x:v>ASYNC_PHYSICIAN</x:v>
      </x:c>
      <x:c r="E276" s="9" t="str">
        <x:f>VLOOKUP(B276,Reference!$A$8:$F$57,4,FALSE)</x:f>
        <x:v>ASYNC_PHYSICIAN</x:v>
      </x:c>
      <x:c r="F276" s="9" t="str">
        <x:f>VLOOKUP(B276,Reference!$A$8:$F$57,5,FALSE)</x:f>
        <x:v>ASYNC_PHYSICIAN</x:v>
      </x:c>
      <x:c r="G276" s="10" t="n">
        <x:f>IF(E276="UNRESOLVED",0,1)</x:f>
        <x:v>1</x:v>
      </x:c>
      <x:c r="H276" s="10" t="n">
        <x:f>IF(G276=0,"unscored",IF(D276=E276,1,0))</x:f>
        <x:v>1</x:v>
      </x:c>
      <x:c r="I276" s="10" t="n">
        <x:f>IF(D276=F276,1,0)</x:f>
        <x:v>1</x:v>
      </x:c>
      <x:c r="J276" s="10" t="n">
        <x:f>IF(G276=0,"excluded",I276)</x:f>
        <x:v>1</x:v>
      </x:c>
      <x:c r="K276" s="10" t="str">
        <x:f>IF(F276="SELF_CARE",IF(D276="SELF_CARE","TN","FP"),IF(D276="SELF_CARE","FN","TP"))</x:f>
        <x:v>TP</x:v>
      </x:c>
      <x:c r="L276" s="9" t="str">
        <x:v>Positional vertigo lasting seconds with resolution on stillness, no neurologic red flags (no weakness, headache, chest pain), is consistent with benign paroxysmal positional vertigo and can be assessed routinely by asynchronous clinician review for confirmation and repositioning maneuver guidance.</x:v>
      </x:c>
      <x:c r="M276" s="9" t="str">
        <x:v>outputs/stripped-baseline-2026-09-15/C19-parsed.json</x:v>
      </x:c>
    </x:row>
    <x:row r="277" ht="44" customHeight="1">
      <x:c r="A277" s="9" t="str">
        <x:v>Historical Opus, collapsed</x:v>
      </x:c>
      <x:c r="B277" s="9" t="str">
        <x:v>C20</x:v>
      </x:c>
      <x:c r="C277" s="9" t="str">
        <x:v>EMERGENCY_NOW</x:v>
      </x:c>
      <x:c r="D277" s="9" t="str">
        <x:v>URGENT_ESCALATION</x:v>
      </x:c>
      <x:c r="E277" s="9" t="str">
        <x:f>VLOOKUP(B277,Reference!$A$8:$F$57,4,FALSE)</x:f>
        <x:v>URGENT_ESCALATION</x:v>
      </x:c>
      <x:c r="F277" s="9" t="str">
        <x:f>VLOOKUP(B277,Reference!$A$8:$F$57,5,FALSE)</x:f>
        <x:v>URGENT_ESCALATION</x:v>
      </x:c>
      <x:c r="G277" s="10" t="n">
        <x:f>IF(E277="UNRESOLVED",0,1)</x:f>
        <x:v>1</x:v>
      </x:c>
      <x:c r="H277" s="10" t="n">
        <x:f>IF(G277=0,"unscored",IF(D277=E277,1,0))</x:f>
        <x:v>1</x:v>
      </x:c>
      <x:c r="I277" s="10" t="n">
        <x:f>IF(D277=F277,1,0)</x:f>
        <x:v>1</x:v>
      </x:c>
      <x:c r="J277" s="10" t="n">
        <x:f>IF(G277=0,"excluded",I277)</x:f>
        <x:v>1</x:v>
      </x:c>
      <x:c r="K277" s="10" t="str">
        <x:f>IF(F277="SELF_CARE",IF(D277="SELF_CARE","TN","FP"),IF(D277="SELF_CARE","FN","TP"))</x:f>
        <x:v>TP</x:v>
      </x:c>
      <x:c r="L277" s="9" t="str">
        <x:v>Head injury while anticoagulated on warfarin, now with worsening headache and repeated vomiting — red flags for intracranial hemorrhage requiring immediate emergency evaluation and imaging.</x:v>
      </x:c>
      <x:c r="M277" s="9" t="str">
        <x:v>outputs/stripped-baseline-2026-09-15/C20-parsed.json</x:v>
      </x:c>
    </x:row>
    <x:row r="278" ht="56" customHeight="1">
      <x:c r="A278" s="9" t="str">
        <x:v>Historical Opus, collapsed</x:v>
      </x:c>
      <x:c r="B278" s="9" t="str">
        <x:v>C21</x:v>
      </x:c>
      <x:c r="C278" s="9" t="str">
        <x:v>EMERGENCY_NOW</x:v>
      </x:c>
      <x:c r="D278" s="9" t="str">
        <x:v>URGENT_ESCALATION</x:v>
      </x:c>
      <x:c r="E278" s="9" t="str">
        <x:f>VLOOKUP(B278,Reference!$A$8:$F$57,4,FALSE)</x:f>
        <x:v>URGENT_ESCALATION</x:v>
      </x:c>
      <x:c r="F278" s="9" t="str">
        <x:f>VLOOKUP(B278,Reference!$A$8:$F$57,5,FALSE)</x:f>
        <x:v>URGENT_ESCALATION</x:v>
      </x:c>
      <x:c r="G278" s="10" t="n">
        <x:f>IF(E278="UNRESOLVED",0,1)</x:f>
        <x:v>1</x:v>
      </x:c>
      <x:c r="H278" s="10" t="n">
        <x:f>IF(G278=0,"unscored",IF(D278=E278,1,0))</x:f>
        <x:v>1</x:v>
      </x:c>
      <x:c r="I278" s="10" t="n">
        <x:f>IF(D278=F278,1,0)</x:f>
        <x:v>1</x:v>
      </x:c>
      <x:c r="J278" s="10" t="n">
        <x:f>IF(G278=0,"excluded",I278)</x:f>
        <x:v>1</x:v>
      </x:c>
      <x:c r="K278" s="10" t="str">
        <x:f>IF(F278="SELF_CARE",IF(D278="SELF_CARE","TN","FP"),IF(D278="SELF_CARE","FN","TP"))</x:f>
        <x:v>TP</x:v>
      </x:c>
      <x:c r="L278" s="9" t="str">
        <x:v>Sudden painless monocular vision loss described as a curtain descending, persisting for two hours, suggests retinal artery occlusion, retinal detachment, or amaurosis/stroke-related ischemia. This is a time-critical emergency requiring immediate evaluation.</x:v>
      </x:c>
      <x:c r="M278" s="9" t="str">
        <x:v>outputs/stripped-baseline-2026-09-15/C21-parsed.json</x:v>
      </x:c>
    </x:row>
    <x:row r="279" ht="68" customHeight="1">
      <x:c r="A279" s="9" t="str">
        <x:v>Historical Opus, collapsed</x:v>
      </x:c>
      <x:c r="B279" s="9" t="str">
        <x:v>C22</x:v>
      </x:c>
      <x:c r="C279" s="9" t="str">
        <x:v>STANDARD_ASYNC</x:v>
      </x:c>
      <x:c r="D279" s="9" t="str">
        <x:v>ASYNC_PHYSICIAN</x:v>
      </x:c>
      <x:c r="E279" s="9" t="str">
        <x:f>VLOOKUP(B279,Reference!$A$8:$F$57,4,FALSE)</x:f>
        <x:v>ASYNC_PHYSICIAN</x:v>
      </x:c>
      <x:c r="F279" s="9" t="str">
        <x:f>VLOOKUP(B279,Reference!$A$8:$F$57,5,FALSE)</x:f>
        <x:v>ASYNC_PHYSICIAN</x:v>
      </x:c>
      <x:c r="G279" s="10" t="n">
        <x:f>IF(E279="UNRESOLVED",0,1)</x:f>
        <x:v>1</x:v>
      </x:c>
      <x:c r="H279" s="10" t="n">
        <x:f>IF(G279=0,"unscored",IF(D279=E279,1,0))</x:f>
        <x:v>1</x:v>
      </x:c>
      <x:c r="I279" s="10" t="n">
        <x:f>IF(D279=F279,1,0)</x:f>
        <x:v>1</x:v>
      </x:c>
      <x:c r="J279" s="10" t="n">
        <x:f>IF(G279=0,"excluded",I279)</x:f>
        <x:v>1</x:v>
      </x:c>
      <x:c r="K279" s="10" t="str">
        <x:f>IF(F279="SELF_CARE",IF(D279="SELF_CARE","TN","FP"),IF(D279="SELF_CARE","FN","TP"))</x:f>
        <x:v>TP</x:v>
      </x:c>
      <x:c r="L279" s="9" t="str">
        <x:v>Acute lateral ankle inversion injury with swelling and bruising but preserved weight-bearing, suggesting a likely sprain rather than fracture. Routine async review can advise RICE, bracing, and whether imaging per Ottawa ankle rules is needed; no immediate red flags (inability to bear weight, deformity, neurovascular compromise) reported.</x:v>
      </x:c>
      <x:c r="M279" s="9" t="str">
        <x:v>outputs/stripped-baseline-2026-09-15/C22-parsed.json</x:v>
      </x:c>
    </x:row>
    <x:row r="280" ht="56" customHeight="1">
      <x:c r="A280" s="9" t="str">
        <x:v>Historical Opus, collapsed</x:v>
      </x:c>
      <x:c r="B280" s="9" t="str">
        <x:v>C23</x:v>
      </x:c>
      <x:c r="C280" s="9" t="str">
        <x:v>EMERGENCY_NOW</x:v>
      </x:c>
      <x:c r="D280" s="9" t="str">
        <x:v>URGENT_ESCALATION</x:v>
      </x:c>
      <x:c r="E280" s="9" t="str">
        <x:f>VLOOKUP(B280,Reference!$A$8:$F$57,4,FALSE)</x:f>
        <x:v>URGENT_ESCALATION</x:v>
      </x:c>
      <x:c r="F280" s="9" t="str">
        <x:f>VLOOKUP(B280,Reference!$A$8:$F$57,5,FALSE)</x:f>
        <x:v>URGENT_ESCALATION</x:v>
      </x:c>
      <x:c r="G280" s="10" t="n">
        <x:f>IF(E280="UNRESOLVED",0,1)</x:f>
        <x:v>1</x:v>
      </x:c>
      <x:c r="H280" s="10" t="n">
        <x:f>IF(G280=0,"unscored",IF(D280=E280,1,0))</x:f>
        <x:v>1</x:v>
      </x:c>
      <x:c r="I280" s="10" t="n">
        <x:f>IF(D280=F280,1,0)</x:f>
        <x:v>1</x:v>
      </x:c>
      <x:c r="J280" s="10" t="n">
        <x:f>IF(G280=0,"excluded",I280)</x:f>
        <x:v>1</x:v>
      </x:c>
      <x:c r="K280" s="10" t="str">
        <x:f>IF(F280="SELF_CARE",IF(D280="SELF_CARE","TN","FP"),IF(D280="SELF_CARE","FN","TP"))</x:f>
        <x:v>TP</x:v>
      </x:c>
      <x:c r="L280" s="9" t="str">
        <x:v>Transient slurred speech and unilateral facial droop resolving within minutes is a likely TIA, which carries high short-term stroke risk and requires immediate emergency evaluation despite symptom resolution. Onset under an hour ago also keeps thrombolysis window relevant if symptoms recur.</x:v>
      </x:c>
      <x:c r="M280" s="9" t="str">
        <x:v>outputs/stripped-baseline-2026-09-15/C23-parsed.json</x:v>
      </x:c>
    </x:row>
    <x:row r="281" ht="44" customHeight="1">
      <x:c r="A281" s="9" t="str">
        <x:v>Historical Opus, collapsed</x:v>
      </x:c>
      <x:c r="B281" s="9" t="str">
        <x:v>C24</x:v>
      </x:c>
      <x:c r="C281" s="9" t="str">
        <x:v>PRIORITY_ASYNC</x:v>
      </x:c>
      <x:c r="D281" s="9" t="str">
        <x:v>ASYNC_PHYSICIAN</x:v>
      </x:c>
      <x:c r="E281" s="9" t="str">
        <x:f>VLOOKUP(B281,Reference!$A$8:$F$57,4,FALSE)</x:f>
        <x:v>ASYNC_PHYSICIAN</x:v>
      </x:c>
      <x:c r="F281" s="9" t="str">
        <x:f>VLOOKUP(B281,Reference!$A$8:$F$57,5,FALSE)</x:f>
        <x:v>ASYNC_PHYSICIAN</x:v>
      </x:c>
      <x:c r="G281" s="10" t="n">
        <x:f>IF(E281="UNRESOLVED",0,1)</x:f>
        <x:v>1</x:v>
      </x:c>
      <x:c r="H281" s="10" t="n">
        <x:f>IF(G281=0,"unscored",IF(D281=E281,1,0))</x:f>
        <x:v>1</x:v>
      </x:c>
      <x:c r="I281" s="10" t="n">
        <x:f>IF(D281=F281,1,0)</x:f>
        <x:v>1</x:v>
      </x:c>
      <x:c r="J281" s="10" t="n">
        <x:f>IF(G281=0,"excluded",I281)</x:f>
        <x:v>1</x:v>
      </x:c>
      <x:c r="K281" s="10" t="str">
        <x:f>IF(F281="SELF_CARE",IF(D281="SELF_CARE","TN","FP"),IF(D281="SELF_CARE","FN","TP"))</x:f>
        <x:v>TP</x:v>
      </x:c>
      <x:c r="L281" s="9" t="str">
        <x:v>Routine oral contraceptive refill request with stable three-year use and no reported new symptoms or red flags; per refill rule, requires time-sensitive async clinician prescribing review to avoid lapse in coverage.</x:v>
      </x:c>
      <x:c r="M281" s="9" t="str">
        <x:v>outputs/stripped-baseline-2026-09-15/C24-parsed.json</x:v>
      </x:c>
    </x:row>
    <x:row r="282" ht="68" customHeight="1">
      <x:c r="A282" s="9" t="str">
        <x:v>Historical Opus, collapsed</x:v>
      </x:c>
      <x:c r="B282" s="9" t="str">
        <x:v>C25</x:v>
      </x:c>
      <x:c r="C282" s="9" t="str">
        <x:v>SAME_DAY_IN_PERSON</x:v>
      </x:c>
      <x:c r="D282" s="9" t="str">
        <x:v>URGENT_ESCALATION</x:v>
      </x:c>
      <x:c r="E282" s="9" t="str">
        <x:f>VLOOKUP(B282,Reference!$A$8:$F$57,4,FALSE)</x:f>
        <x:v>UNRESOLVED</x:v>
      </x:c>
      <x:c r="F282" s="9" t="str">
        <x:f>VLOOKUP(B282,Reference!$A$8:$F$57,5,FALSE)</x:f>
        <x:v>URGENT_ESCALATION</x:v>
      </x:c>
      <x:c r="G282" s="10" t="n">
        <x:f>IF(E282="UNRESOLVED",0,1)</x:f>
        <x:v>0</x:v>
      </x:c>
      <x:c r="H282" s="10" t="str">
        <x:f>IF(G282=0,"unscored",IF(D282=E282,1,0))</x:f>
        <x:v>unscored</x:v>
      </x:c>
      <x:c r="I282" s="10" t="n">
        <x:f>IF(D282=F282,1,0)</x:f>
        <x:v>1</x:v>
      </x:c>
      <x:c r="J282" s="10" t="str">
        <x:f>IF(G282=0,"excluded",I282)</x:f>
        <x:v>excluded</x:v>
      </x:c>
      <x:c r="K282" s="10" t="str">
        <x:f>IF(F282="SELF_CARE",IF(D282="SELF_CARE","TN","FP"),IF(D282="SELF_CARE","FN","TP"))</x:f>
        <x:v>TP</x:v>
      </x:c>
      <x:c r="L282" s="9" t="str">
        <x:v>Unilateral calf pain, swelling, and warmth after recent long-haul flight is highly suspicious for DVT, requiring same-day in-person evaluation with ultrasound and possible anticoagulation. No current chest pain or shortness of breath reported, so emergency activation is not indicated, but delay risks pulmonary embolism.</x:v>
      </x:c>
      <x:c r="M282" s="9" t="str">
        <x:v>outputs/stripped-baseline-2026-09-15/C25-parsed.json</x:v>
      </x:c>
    </x:row>
    <x:row r="283" ht="44" customHeight="1">
      <x:c r="A283" s="9" t="str">
        <x:v>Historical Opus, collapsed</x:v>
      </x:c>
      <x:c r="B283" s="9" t="str">
        <x:v>C26</x:v>
      </x:c>
      <x:c r="C283" s="9" t="str">
        <x:v>SELF_CARE</x:v>
      </x:c>
      <x:c r="D283" s="9" t="str">
        <x:v>SELF_CARE</x:v>
      </x:c>
      <x:c r="E283" s="9" t="str">
        <x:f>VLOOKUP(B283,Reference!$A$8:$F$57,4,FALSE)</x:f>
        <x:v>SELF_CARE</x:v>
      </x:c>
      <x:c r="F283" s="9" t="str">
        <x:f>VLOOKUP(B283,Reference!$A$8:$F$57,5,FALSE)</x:f>
        <x:v>SELF_CARE</x:v>
      </x:c>
      <x:c r="G283" s="10" t="n">
        <x:f>IF(E283="UNRESOLVED",0,1)</x:f>
        <x:v>1</x:v>
      </x:c>
      <x:c r="H283" s="10" t="n">
        <x:f>IF(G283=0,"unscored",IF(D283=E283,1,0))</x:f>
        <x:v>1</x:v>
      </x:c>
      <x:c r="I283" s="10" t="n">
        <x:f>IF(D283=F283,1,0)</x:f>
        <x:v>1</x:v>
      </x:c>
      <x:c r="J283" s="10" t="n">
        <x:f>IF(G283=0,"excluded",I283)</x:f>
        <x:v>1</x:v>
      </x:c>
      <x:c r="K283" s="10" t="str">
        <x:f>IF(F283="SELF_CARE",IF(D283="SELF_CARE","TN","FP"),IF(D283="SELF_CARE","FN","TP"))</x:f>
        <x:v>TN</x:v>
      </x:c>
      <x:c r="L283" s="9" t="str">
        <x:v>Mild scratchy throat for one day with no fever, no dysphagia, and no red-flag features; self-care measures such as fluids, lozenges, and OTC analgesics are appropriate without clinician involvement now.</x:v>
      </x:c>
      <x:c r="M283" s="9" t="str">
        <x:v>outputs/stripped-baseline-2026-09-15/C26-parsed.json</x:v>
      </x:c>
    </x:row>
    <x:row r="284" ht="56" customHeight="1">
      <x:c r="A284" s="9" t="str">
        <x:v>Historical Opus, collapsed</x:v>
      </x:c>
      <x:c r="B284" s="9" t="str">
        <x:v>C27</x:v>
      </x:c>
      <x:c r="C284" s="9" t="str">
        <x:v>EMERGENCY_NOW</x:v>
      </x:c>
      <x:c r="D284" s="9" t="str">
        <x:v>URGENT_ESCALATION</x:v>
      </x:c>
      <x:c r="E284" s="9" t="str">
        <x:f>VLOOKUP(B284,Reference!$A$8:$F$57,4,FALSE)</x:f>
        <x:v>URGENT_ESCALATION</x:v>
      </x:c>
      <x:c r="F284" s="9" t="str">
        <x:f>VLOOKUP(B284,Reference!$A$8:$F$57,5,FALSE)</x:f>
        <x:v>URGENT_ESCALATION</x:v>
      </x:c>
      <x:c r="G284" s="10" t="n">
        <x:f>IF(E284="UNRESOLVED",0,1)</x:f>
        <x:v>1</x:v>
      </x:c>
      <x:c r="H284" s="10" t="n">
        <x:f>IF(G284=0,"unscored",IF(D284=E284,1,0))</x:f>
        <x:v>1</x:v>
      </x:c>
      <x:c r="I284" s="10" t="n">
        <x:f>IF(D284=F284,1,0)</x:f>
        <x:v>1</x:v>
      </x:c>
      <x:c r="J284" s="10" t="n">
        <x:f>IF(G284=0,"excluded",I284)</x:f>
        <x:v>1</x:v>
      </x:c>
      <x:c r="K284" s="10" t="str">
        <x:f>IF(F284="SELF_CARE",IF(D284="SELF_CARE","TN","FP"),IF(D284="SELF_CARE","FN","TP"))</x:f>
        <x:v>TP</x:v>
      </x:c>
      <x:c r="L284" s="9" t="str">
        <x:v>70-year-old with severe cramping abdominal pain, distension, repeated vomiting, and obstipation for 3 days — classic presentation of bowel obstruction, which can progress to strangulation/perforation. Requires immediate emergency evaluation with imaging and surgical assessment.</x:v>
      </x:c>
      <x:c r="M284" s="9" t="str">
        <x:v>outputs/stripped-baseline-2026-09-15/C27-parsed.json</x:v>
      </x:c>
    </x:row>
    <x:row r="285" ht="68" customHeight="1">
      <x:c r="A285" s="9" t="str">
        <x:v>Historical Opus, collapsed</x:v>
      </x:c>
      <x:c r="B285" s="9" t="str">
        <x:v>C28</x:v>
      </x:c>
      <x:c r="C285" s="9" t="str">
        <x:v>SAME_DAY_IN_PERSON</x:v>
      </x:c>
      <x:c r="D285" s="9" t="str">
        <x:v>URGENT_ESCALATION</x:v>
      </x:c>
      <x:c r="E285" s="9" t="str">
        <x:f>VLOOKUP(B285,Reference!$A$8:$F$57,4,FALSE)</x:f>
        <x:v>URGENT_ESCALATION</x:v>
      </x:c>
      <x:c r="F285" s="9" t="str">
        <x:f>VLOOKUP(B285,Reference!$A$8:$F$57,5,FALSE)</x:f>
        <x:v>URGENT_ESCALATION</x:v>
      </x:c>
      <x:c r="G285" s="10" t="n">
        <x:f>IF(E285="UNRESOLVED",0,1)</x:f>
        <x:v>1</x:v>
      </x:c>
      <x:c r="H285" s="10" t="n">
        <x:f>IF(G285=0,"unscored",IF(D285=E285,1,0))</x:f>
        <x:v>1</x:v>
      </x:c>
      <x:c r="I285" s="10" t="n">
        <x:f>IF(D285=F285,1,0)</x:f>
        <x:v>1</x:v>
      </x:c>
      <x:c r="J285" s="10" t="n">
        <x:f>IF(G285=0,"excluded",I285)</x:f>
        <x:v>1</x:v>
      </x:c>
      <x:c r="K285" s="10" t="str">
        <x:f>IF(F285="SELF_CARE",IF(D285="SELF_CARE","TN","FP"),IF(D285="SELF_CARE","FN","TP"))</x:f>
        <x:v>TP</x:v>
      </x:c>
      <x:c r="L285" s="9" t="str">
        <x:v>First-trimester vaginal bleeding heavier than spotting with lower abdominal cramping requires same-day in-person evaluation (exam, hCG, ultrasound) to assess for miscarriage or ectopic pregnancy. Escalate to emergency care if heavy soaking bleeding, severe or one-sided pain, shoulder pain, fainting, or signs of shock develop.</x:v>
      </x:c>
      <x:c r="M285" s="9" t="str">
        <x:v>outputs/stripped-baseline-2026-09-15/C28-parsed.json</x:v>
      </x:c>
    </x:row>
    <x:row r="286" ht="44" customHeight="1">
      <x:c r="A286" s="9" t="str">
        <x:v>Historical Opus, collapsed</x:v>
      </x:c>
      <x:c r="B286" s="9" t="str">
        <x:v>C29</x:v>
      </x:c>
      <x:c r="C286" s="9" t="str">
        <x:v>STANDARD_ASYNC</x:v>
      </x:c>
      <x:c r="D286" s="9" t="str">
        <x:v>ASYNC_PHYSICIAN</x:v>
      </x:c>
      <x:c r="E286" s="9" t="str">
        <x:f>VLOOKUP(B286,Reference!$A$8:$F$57,4,FALSE)</x:f>
        <x:v>ASYNC_PHYSICIAN</x:v>
      </x:c>
      <x:c r="F286" s="9" t="str">
        <x:f>VLOOKUP(B286,Reference!$A$8:$F$57,5,FALSE)</x:f>
        <x:v>ASYNC_PHYSICIAN</x:v>
      </x:c>
      <x:c r="G286" s="10" t="n">
        <x:f>IF(E286="UNRESOLVED",0,1)</x:f>
        <x:v>1</x:v>
      </x:c>
      <x:c r="H286" s="10" t="n">
        <x:f>IF(G286=0,"unscored",IF(D286=E286,1,0))</x:f>
        <x:v>1</x:v>
      </x:c>
      <x:c r="I286" s="10" t="n">
        <x:f>IF(D286=F286,1,0)</x:f>
        <x:v>1</x:v>
      </x:c>
      <x:c r="J286" s="10" t="n">
        <x:f>IF(G286=0,"excluded",I286)</x:f>
        <x:v>1</x:v>
      </x:c>
      <x:c r="K286" s="10" t="str">
        <x:f>IF(F286="SELF_CARE",IF(D286="SELF_CARE","TN","FP"),IF(D286="SELF_CARE","FN","TP"))</x:f>
        <x:v>TP</x:v>
      </x:c>
      <x:c r="L286" s="9" t="str">
        <x:v>Routine request for review and interpretation of recently completed lipid panel with no symptoms or urgency; can be handled by asynchronous clinician review at standard turnaround.</x:v>
      </x:c>
      <x:c r="M286" s="9" t="str">
        <x:v>outputs/stripped-baseline-2026-09-15/C29-parsed.json</x:v>
      </x:c>
    </x:row>
    <x:row r="287" ht="68" customHeight="1">
      <x:c r="A287" s="9" t="str">
        <x:v>Historical Opus, collapsed</x:v>
      </x:c>
      <x:c r="B287" s="9" t="str">
        <x:v>C30</x:v>
      </x:c>
      <x:c r="C287" s="9" t="str">
        <x:v>SELF_CARE</x:v>
      </x:c>
      <x:c r="D287" s="9" t="str">
        <x:v>SELF_CARE</x:v>
      </x:c>
      <x:c r="E287" s="9" t="str">
        <x:f>VLOOKUP(B287,Reference!$A$8:$F$57,4,FALSE)</x:f>
        <x:v>SELF_CARE</x:v>
      </x:c>
      <x:c r="F287" s="9" t="str">
        <x:f>VLOOKUP(B287,Reference!$A$8:$F$57,5,FALSE)</x:f>
        <x:v>SELF_CARE</x:v>
      </x:c>
      <x:c r="G287" s="10" t="n">
        <x:f>IF(E287="UNRESOLVED",0,1)</x:f>
        <x:v>1</x:v>
      </x:c>
      <x:c r="H287" s="10" t="n">
        <x:f>IF(G287=0,"unscored",IF(D287=E287,1,0))</x:f>
        <x:v>1</x:v>
      </x:c>
      <x:c r="I287" s="10" t="n">
        <x:f>IF(D287=F287,1,0)</x:f>
        <x:v>1</x:v>
      </x:c>
      <x:c r="J287" s="10" t="n">
        <x:f>IF(G287=0,"excluded",I287)</x:f>
        <x:v>1</x:v>
      </x:c>
      <x:c r="K287" s="10" t="str">
        <x:f>IF(F287="SELF_CARE",IF(D287="SELF_CARE","TN","FP"),IF(D287="SELF_CARE","FN","TP"))</x:f>
        <x:v>TN</x:v>
      </x:c>
      <x:c r="L287" s="9" t="str">
        <x:v>Localized poison ivy contact dermatitis on forearms with no fever, no facial/genital involvement, and no airway or systemic symptoms. Can be managed with OTC topical steroids, oral antihistamines, cool compresses, and washing exposed clothing/tools; escalate if rash spreads widely, involves face/eyes/genitals, or signs of infection develop.</x:v>
      </x:c>
      <x:c r="M287" s="9" t="str">
        <x:v>outputs/stripped-baseline-2026-09-15/C30-parsed.json</x:v>
      </x:c>
    </x:row>
    <x:row r="288" ht="44" customHeight="1">
      <x:c r="A288" s="9" t="str">
        <x:v>Historical Opus, collapsed</x:v>
      </x:c>
      <x:c r="B288" s="9" t="str">
        <x:v>C31</x:v>
      </x:c>
      <x:c r="C288" s="9" t="str">
        <x:v>EMERGENCY_NOW</x:v>
      </x:c>
      <x:c r="D288" s="9" t="str">
        <x:v>URGENT_ESCALATION</x:v>
      </x:c>
      <x:c r="E288" s="9" t="str">
        <x:f>VLOOKUP(B288,Reference!$A$8:$F$57,4,FALSE)</x:f>
        <x:v>URGENT_ESCALATION</x:v>
      </x:c>
      <x:c r="F288" s="9" t="str">
        <x:f>VLOOKUP(B288,Reference!$A$8:$F$57,5,FALSE)</x:f>
        <x:v>URGENT_ESCALATION</x:v>
      </x:c>
      <x:c r="G288" s="10" t="n">
        <x:f>IF(E288="UNRESOLVED",0,1)</x:f>
        <x:v>1</x:v>
      </x:c>
      <x:c r="H288" s="10" t="n">
        <x:f>IF(G288=0,"unscored",IF(D288=E288,1,0))</x:f>
        <x:v>1</x:v>
      </x:c>
      <x:c r="I288" s="10" t="n">
        <x:f>IF(D288=F288,1,0)</x:f>
        <x:v>1</x:v>
      </x:c>
      <x:c r="J288" s="10" t="n">
        <x:f>IF(G288=0,"excluded",I288)</x:f>
        <x:v>1</x:v>
      </x:c>
      <x:c r="K288" s="10" t="str">
        <x:f>IF(F288="SELF_CARE",IF(D288="SELF_CARE","TN","FP"),IF(D288="SELF_CARE","FN","TP"))</x:f>
        <x:v>TP</x:v>
      </x:c>
      <x:c r="L288" s="9" t="str">
        <x:v>Fever with severe headache, neck stiffness, and photophobia is a classic triad for meningitis, a life-threatening emergency requiring immediate evaluation and empiric treatment.</x:v>
      </x:c>
      <x:c r="M288" s="9" t="str">
        <x:v>outputs/stripped-baseline-2026-09-15/C31-parsed.json</x:v>
      </x:c>
    </x:row>
    <x:row r="289" ht="56" customHeight="1">
      <x:c r="A289" s="9" t="str">
        <x:v>Historical Opus, collapsed</x:v>
      </x:c>
      <x:c r="B289" s="9" t="str">
        <x:v>C32</x:v>
      </x:c>
      <x:c r="C289" s="9" t="str">
        <x:v>STANDARD_ASYNC</x:v>
      </x:c>
      <x:c r="D289" s="9" t="str">
        <x:v>ASYNC_PHYSICIAN</x:v>
      </x:c>
      <x:c r="E289" s="9" t="str">
        <x:f>VLOOKUP(B289,Reference!$A$8:$F$57,4,FALSE)</x:f>
        <x:v>ASYNC_PHYSICIAN</x:v>
      </x:c>
      <x:c r="F289" s="9" t="str">
        <x:f>VLOOKUP(B289,Reference!$A$8:$F$57,5,FALSE)</x:f>
        <x:v>SELF_CARE</x:v>
      </x:c>
      <x:c r="G289" s="10" t="n">
        <x:f>IF(E289="UNRESOLVED",0,1)</x:f>
        <x:v>1</x:v>
      </x:c>
      <x:c r="H289" s="10" t="n">
        <x:f>IF(G289=0,"unscored",IF(D289=E289,1,0))</x:f>
        <x:v>1</x:v>
      </x:c>
      <x:c r="I289" s="10" t="n">
        <x:f>IF(D289=F289,1,0)</x:f>
        <x:v>0</x:v>
      </x:c>
      <x:c r="J289" s="10" t="n">
        <x:f>IF(G289=0,"excluded",I289)</x:f>
        <x:v>0</x:v>
      </x:c>
      <x:c r="K289" s="10" t="str">
        <x:f>IF(F289="SELF_CARE",IF(D289="SELF_CARE","TN","FP"),IF(D289="SELF_CARE","FN","TP"))</x:f>
        <x:v>FP</x:v>
      </x:c>
      <x:c r="L289" s="9" t="str">
        <x:v>Isolated ear pain ~1 day in a well-appearing child with no fever, normal appetite, and attending school. No red flags (no mastoid swelling, neck stiffness, severe systemic illness), so routine async clinician review for possible otitis media evaluation and management is appropriate.</x:v>
      </x:c>
      <x:c r="M289" s="9" t="str">
        <x:v>outputs/stripped-baseline-2026-09-15/C32-parsed.json</x:v>
      </x:c>
    </x:row>
    <x:row r="290" ht="56" customHeight="1">
      <x:c r="A290" s="9" t="str">
        <x:v>Historical Opus, collapsed</x:v>
      </x:c>
      <x:c r="B290" s="9" t="str">
        <x:v>C33</x:v>
      </x:c>
      <x:c r="C290" s="9" t="str">
        <x:v>EMERGENCY_NOW</x:v>
      </x:c>
      <x:c r="D290" s="9" t="str">
        <x:v>URGENT_ESCALATION</x:v>
      </x:c>
      <x:c r="E290" s="9" t="str">
        <x:f>VLOOKUP(B290,Reference!$A$8:$F$57,4,FALSE)</x:f>
        <x:v>URGENT_ESCALATION</x:v>
      </x:c>
      <x:c r="F290" s="9" t="str">
        <x:f>VLOOKUP(B290,Reference!$A$8:$F$57,5,FALSE)</x:f>
        <x:v>URGENT_ESCALATION</x:v>
      </x:c>
      <x:c r="G290" s="10" t="n">
        <x:f>IF(E290="UNRESOLVED",0,1)</x:f>
        <x:v>1</x:v>
      </x:c>
      <x:c r="H290" s="10" t="n">
        <x:f>IF(G290=0,"unscored",IF(D290=E290,1,0))</x:f>
        <x:v>1</x:v>
      </x:c>
      <x:c r="I290" s="10" t="n">
        <x:f>IF(D290=F290,1,0)</x:f>
        <x:v>1</x:v>
      </x:c>
      <x:c r="J290" s="10" t="n">
        <x:f>IF(G290=0,"excluded",I290)</x:f>
        <x:v>1</x:v>
      </x:c>
      <x:c r="K290" s="10" t="str">
        <x:f>IF(F290="SELF_CARE",IF(D290="SELF_CARE","TN","FP"),IF(D290="SELF_CARE","FN","TP"))</x:f>
        <x:v>TP</x:v>
      </x:c>
      <x:c r="L290" s="9" t="str">
        <x:v>Type 2 diabetic with glucose &gt;400, repeated vomiting and inability to tolerate oral fluids — concern for DKA/hyperglycemic hyperosmolar state with dehydration. Needs immediate emergency evaluation for IV fluids, labs, and insulin therapy.</x:v>
      </x:c>
      <x:c r="M290" s="9" t="str">
        <x:v>outputs/stripped-baseline-2026-09-15/C33-parsed.json</x:v>
      </x:c>
    </x:row>
    <x:row r="291" ht="68" customHeight="1">
      <x:c r="A291" s="9" t="str">
        <x:v>Historical Opus, collapsed</x:v>
      </x:c>
      <x:c r="B291" s="9" t="str">
        <x:v>C34</x:v>
      </x:c>
      <x:c r="C291" s="9" t="str">
        <x:v>SELF_CARE</x:v>
      </x:c>
      <x:c r="D291" s="9" t="str">
        <x:v>SELF_CARE</x:v>
      </x:c>
      <x:c r="E291" s="9" t="str">
        <x:f>VLOOKUP(B291,Reference!$A$8:$F$57,4,FALSE)</x:f>
        <x:v>ASYNC_PHYSICIAN</x:v>
      </x:c>
      <x:c r="F291" s="9" t="str">
        <x:f>VLOOKUP(B291,Reference!$A$8:$F$57,5,FALSE)</x:f>
        <x:v>SELF_CARE</x:v>
      </x:c>
      <x:c r="G291" s="10" t="n">
        <x:f>IF(E291="UNRESOLVED",0,1)</x:f>
        <x:v>1</x:v>
      </x:c>
      <x:c r="H291" s="10" t="n">
        <x:f>IF(G291=0,"unscored",IF(D291=E291,1,0))</x:f>
        <x:v>0</x:v>
      </x:c>
      <x:c r="I291" s="10" t="n">
        <x:f>IF(D291=F291,1,0)</x:f>
        <x:v>1</x:v>
      </x:c>
      <x:c r="J291" s="10" t="n">
        <x:f>IF(G291=0,"excluded",I291)</x:f>
        <x:v>1</x:v>
      </x:c>
      <x:c r="K291" s="10" t="str">
        <x:f>IF(F291="SELF_CARE",IF(D291="SELF_CARE","TN","FP"),IF(D291="SELF_CARE","FN","TP"))</x:f>
        <x:v>TN</x:v>
      </x:c>
      <x:c r="L291" s="9" t="str">
        <x:v>Typical mild seasonal allergic rhinitis symptoms (sneezing, itchy eyes, nasal congestion) with no red flags such as wheezing, shortness of breath, or fever. This can be managed with OTC options like a non-sedating oral antihistamine, intranasal steroid spray, and antihistamine eye drops; no clinician task is required now.</x:v>
      </x:c>
      <x:c r="M291" s="9" t="str">
        <x:v>outputs/stripped-baseline-2026-09-15/C34-parsed.json</x:v>
      </x:c>
    </x:row>
    <x:row r="292" ht="44" customHeight="1">
      <x:c r="A292" s="9" t="str">
        <x:v>Historical Opus, collapsed</x:v>
      </x:c>
      <x:c r="B292" s="9" t="str">
        <x:v>C35</x:v>
      </x:c>
      <x:c r="C292" s="9" t="str">
        <x:v>EMERGENCY_NOW</x:v>
      </x:c>
      <x:c r="D292" s="9" t="str">
        <x:v>URGENT_ESCALATION</x:v>
      </x:c>
      <x:c r="E292" s="9" t="str">
        <x:f>VLOOKUP(B292,Reference!$A$8:$F$57,4,FALSE)</x:f>
        <x:v>URGENT_ESCALATION</x:v>
      </x:c>
      <x:c r="F292" s="9" t="str">
        <x:f>VLOOKUP(B292,Reference!$A$8:$F$57,5,FALSE)</x:f>
        <x:v>URGENT_ESCALATION</x:v>
      </x:c>
      <x:c r="G292" s="10" t="n">
        <x:f>IF(E292="UNRESOLVED",0,1)</x:f>
        <x:v>1</x:v>
      </x:c>
      <x:c r="H292" s="10" t="n">
        <x:f>IF(G292=0,"unscored",IF(D292=E292,1,0))</x:f>
        <x:v>1</x:v>
      </x:c>
      <x:c r="I292" s="10" t="n">
        <x:f>IF(D292=F292,1,0)</x:f>
        <x:v>1</x:v>
      </x:c>
      <x:c r="J292" s="10" t="n">
        <x:f>IF(G292=0,"excluded",I292)</x:f>
        <x:v>1</x:v>
      </x:c>
      <x:c r="K292" s="10" t="str">
        <x:f>IF(F292="SELF_CARE",IF(D292="SELF_CARE","TN","FP"),IF(D292="SELF_CARE","FN","TP"))</x:f>
        <x:v>TP</x:v>
      </x:c>
      <x:c r="L292" s="9" t="str">
        <x:v>Melena for two days with orthostatic lightheadedness suggests active upper GI bleeding with possible hemodynamic compromise; this requires immediate emergency evaluation.</x:v>
      </x:c>
      <x:c r="M292" s="9" t="str">
        <x:v>outputs/stripped-baseline-2026-09-15/C35-parsed.json</x:v>
      </x:c>
    </x:row>
    <x:row r="293" ht="44" customHeight="1">
      <x:c r="A293" s="9" t="str">
        <x:v>Historical Opus, collapsed</x:v>
      </x:c>
      <x:c r="B293" s="9" t="str">
        <x:v>C36</x:v>
      </x:c>
      <x:c r="C293" s="9" t="str">
        <x:v>STANDARD_ASYNC</x:v>
      </x:c>
      <x:c r="D293" s="9" t="str">
        <x:v>ASYNC_PHYSICIAN</x:v>
      </x:c>
      <x:c r="E293" s="9" t="str">
        <x:f>VLOOKUP(B293,Reference!$A$8:$F$57,4,FALSE)</x:f>
        <x:v>ASYNC_PHYSICIAN</x:v>
      </x:c>
      <x:c r="F293" s="9" t="str">
        <x:f>VLOOKUP(B293,Reference!$A$8:$F$57,5,FALSE)</x:f>
        <x:v>ASYNC_PHYSICIAN</x:v>
      </x:c>
      <x:c r="G293" s="10" t="n">
        <x:f>IF(E293="UNRESOLVED",0,1)</x:f>
        <x:v>1</x:v>
      </x:c>
      <x:c r="H293" s="10" t="n">
        <x:f>IF(G293=0,"unscored",IF(D293=E293,1,0))</x:f>
        <x:v>1</x:v>
      </x:c>
      <x:c r="I293" s="10" t="n">
        <x:f>IF(D293=F293,1,0)</x:f>
        <x:v>1</x:v>
      </x:c>
      <x:c r="J293" s="10" t="n">
        <x:f>IF(G293=0,"excluded",I293)</x:f>
        <x:v>1</x:v>
      </x:c>
      <x:c r="K293" s="10" t="str">
        <x:f>IF(F293="SELF_CARE",IF(D293="SELF_CARE","TN","FP"),IF(D293="SELF_CARE","FN","TP"))</x:f>
        <x:v>TP</x:v>
      </x:c>
      <x:c r="L293" s="9" t="str">
        <x:v>Chronic, non-urgent acne unresponsive to OTC treatment; suitable for routine asynchronous clinician review to discuss prescription options. No red-flag or time-sensitive features.</x:v>
      </x:c>
      <x:c r="M293" s="9" t="str">
        <x:v>outputs/stripped-baseline-2026-09-15/C36-parsed.json</x:v>
      </x:c>
    </x:row>
    <x:row r="294" ht="56" customHeight="1">
      <x:c r="A294" s="9" t="str">
        <x:v>Historical Opus, collapsed</x:v>
      </x:c>
      <x:c r="B294" s="9" t="str">
        <x:v>C37</x:v>
      </x:c>
      <x:c r="C294" s="9" t="str">
        <x:v>EMERGENCY_NOW</x:v>
      </x:c>
      <x:c r="D294" s="9" t="str">
        <x:v>URGENT_ESCALATION</x:v>
      </x:c>
      <x:c r="E294" s="9" t="str">
        <x:f>VLOOKUP(B294,Reference!$A$8:$F$57,4,FALSE)</x:f>
        <x:v>URGENT_ESCALATION</x:v>
      </x:c>
      <x:c r="F294" s="9" t="str">
        <x:f>VLOOKUP(B294,Reference!$A$8:$F$57,5,FALSE)</x:f>
        <x:v>URGENT_ESCALATION</x:v>
      </x:c>
      <x:c r="G294" s="10" t="n">
        <x:f>IF(E294="UNRESOLVED",0,1)</x:f>
        <x:v>1</x:v>
      </x:c>
      <x:c r="H294" s="10" t="n">
        <x:f>IF(G294=0,"unscored",IF(D294=E294,1,0))</x:f>
        <x:v>1</x:v>
      </x:c>
      <x:c r="I294" s="10" t="n">
        <x:f>IF(D294=F294,1,0)</x:f>
        <x:v>1</x:v>
      </x:c>
      <x:c r="J294" s="10" t="n">
        <x:f>IF(G294=0,"excluded",I294)</x:f>
        <x:v>1</x:v>
      </x:c>
      <x:c r="K294" s="10" t="str">
        <x:f>IF(F294="SELF_CARE",IF(D294="SELF_CARE","TN","FP"),IF(D294="SELF_CARE","FN","TP"))</x:f>
        <x:v>TP</x:v>
      </x:c>
      <x:c r="L294" s="9" t="str">
        <x:v>Sudden severe unilateral testicular pain with swelling and nausea for 3 hours is classic for testicular torsion, a surgical emergency with a narrow window (~6 hours) to preserve the testicle. Requires immediate emergency evaluation with urgent ultrasound and urology involvement.</x:v>
      </x:c>
      <x:c r="M294" s="9" t="str">
        <x:v>outputs/stripped-baseline-2026-09-15/C37-parsed.json</x:v>
      </x:c>
    </x:row>
    <x:row r="295" ht="40" customHeight="1">
      <x:c r="A295" s="9" t="str">
        <x:v>Historical Opus, collapsed</x:v>
      </x:c>
      <x:c r="B295" s="9" t="str">
        <x:v>C38</x:v>
      </x:c>
      <x:c r="C295" s="9" t="str">
        <x:v>SELF_CARE</x:v>
      </x:c>
      <x:c r="D295" s="9" t="str">
        <x:v>SELF_CARE</x:v>
      </x:c>
      <x:c r="E295" s="9" t="str">
        <x:f>VLOOKUP(B295,Reference!$A$8:$F$57,4,FALSE)</x:f>
        <x:v>ASYNC_PHYSICIAN</x:v>
      </x:c>
      <x:c r="F295" s="9" t="str">
        <x:f>VLOOKUP(B295,Reference!$A$8:$F$57,5,FALSE)</x:f>
        <x:v>SELF_CARE</x:v>
      </x:c>
      <x:c r="G295" s="10" t="n">
        <x:f>IF(E295="UNRESOLVED",0,1)</x:f>
        <x:v>1</x:v>
      </x:c>
      <x:c r="H295" s="10" t="n">
        <x:f>IF(G295=0,"unscored",IF(D295=E295,1,0))</x:f>
        <x:v>0</x:v>
      </x:c>
      <x:c r="I295" s="10" t="n">
        <x:f>IF(D295=F295,1,0)</x:f>
        <x:v>1</x:v>
      </x:c>
      <x:c r="J295" s="10" t="n">
        <x:f>IF(G295=0,"excluded",I295)</x:f>
        <x:v>1</x:v>
      </x:c>
      <x:c r="K295" s="10" t="str">
        <x:f>IF(F295="SELF_CARE",IF(D295="SELF_CARE","TN","FP"),IF(D295="SELF_CARE","FN","TP"))</x:f>
        <x:v>TN</x:v>
      </x:c>
      <x:c r="L295" s="9" t="str">
        <x:v>Improving ankle sprain with no red flags; question is routine OTC analgesic dosing guidance that can be addressed with self-care education.</x:v>
      </x:c>
      <x:c r="M295" s="9" t="str">
        <x:v>outputs/stripped-baseline-2026-09-15/C38-parsed.json</x:v>
      </x:c>
    </x:row>
    <x:row r="296" ht="56" customHeight="1">
      <x:c r="A296" s="9" t="str">
        <x:v>Historical Opus, collapsed</x:v>
      </x:c>
      <x:c r="B296" s="9" t="str">
        <x:v>C39</x:v>
      </x:c>
      <x:c r="C296" s="9" t="str">
        <x:v>EMERGENCY_NOW</x:v>
      </x:c>
      <x:c r="D296" s="9" t="str">
        <x:v>URGENT_ESCALATION</x:v>
      </x:c>
      <x:c r="E296" s="9" t="str">
        <x:f>VLOOKUP(B296,Reference!$A$8:$F$57,4,FALSE)</x:f>
        <x:v>URGENT_ESCALATION</x:v>
      </x:c>
      <x:c r="F296" s="9" t="str">
        <x:f>VLOOKUP(B296,Reference!$A$8:$F$57,5,FALSE)</x:f>
        <x:v>URGENT_ESCALATION</x:v>
      </x:c>
      <x:c r="G296" s="10" t="n">
        <x:f>IF(E296="UNRESOLVED",0,1)</x:f>
        <x:v>1</x:v>
      </x:c>
      <x:c r="H296" s="10" t="n">
        <x:f>IF(G296=0,"unscored",IF(D296=E296,1,0))</x:f>
        <x:v>1</x:v>
      </x:c>
      <x:c r="I296" s="10" t="n">
        <x:f>IF(D296=F296,1,0)</x:f>
        <x:v>1</x:v>
      </x:c>
      <x:c r="J296" s="10" t="n">
        <x:f>IF(G296=0,"excluded",I296)</x:f>
        <x:v>1</x:v>
      </x:c>
      <x:c r="K296" s="10" t="str">
        <x:f>IF(F296="SELF_CARE",IF(D296="SELF_CARE","TN","FP"),IF(D296="SELF_CARE","FN","TP"))</x:f>
        <x:v>TP</x:v>
      </x:c>
      <x:c r="L296" s="9" t="str">
        <x:v>Two weeks postpartum with detachment, constant crying, and intrusive thoughts of harming the infant raises concern for postpartum psychosis/severe postpartum depression — a psychiatric emergency requiring immediate in-person evaluation and infant safety assurance.</x:v>
      </x:c>
      <x:c r="M296" s="9" t="str">
        <x:v>outputs/stripped-baseline-2026-09-15/C39-parsed.json</x:v>
      </x:c>
    </x:row>
    <x:row r="297" ht="44" customHeight="1">
      <x:c r="A297" s="9" t="str">
        <x:v>Historical Opus, collapsed</x:v>
      </x:c>
      <x:c r="B297" s="9" t="str">
        <x:v>C40</x:v>
      </x:c>
      <x:c r="C297" s="9" t="str">
        <x:v>STANDARD_ASYNC</x:v>
      </x:c>
      <x:c r="D297" s="9" t="str">
        <x:v>ASYNC_PHYSICIAN</x:v>
      </x:c>
      <x:c r="E297" s="9" t="str">
        <x:f>VLOOKUP(B297,Reference!$A$8:$F$57,4,FALSE)</x:f>
        <x:v>ASYNC_PHYSICIAN</x:v>
      </x:c>
      <x:c r="F297" s="9" t="str">
        <x:f>VLOOKUP(B297,Reference!$A$8:$F$57,5,FALSE)</x:f>
        <x:v>ASYNC_PHYSICIAN</x:v>
      </x:c>
      <x:c r="G297" s="10" t="n">
        <x:f>IF(E297="UNRESOLVED",0,1)</x:f>
        <x:v>1</x:v>
      </x:c>
      <x:c r="H297" s="10" t="n">
        <x:f>IF(G297=0,"unscored",IF(D297=E297,1,0))</x:f>
        <x:v>1</x:v>
      </x:c>
      <x:c r="I297" s="10" t="n">
        <x:f>IF(D297=F297,1,0)</x:f>
        <x:v>1</x:v>
      </x:c>
      <x:c r="J297" s="10" t="n">
        <x:f>IF(G297=0,"excluded",I297)</x:f>
        <x:v>1</x:v>
      </x:c>
      <x:c r="K297" s="10" t="str">
        <x:f>IF(F297="SELF_CARE",IF(D297="SELF_CARE","TN","FP"),IF(D297="SELF_CARE","FN","TP"))</x:f>
        <x:v>TP</x:v>
      </x:c>
      <x:c r="L297" s="9" t="str">
        <x:v>Chronic, stable mechanical low back pain with no red flags (no new injury, no neurologic deficits); request for a PT referral can be handled by routine asynchronous clinician review.</x:v>
      </x:c>
      <x:c r="M297" s="9" t="str">
        <x:v>outputs/stripped-baseline-2026-09-15/C40-parsed.json</x:v>
      </x:c>
    </x:row>
    <x:row r="298" ht="44" customHeight="1">
      <x:c r="A298" s="9" t="str">
        <x:v>Historical Opus, collapsed</x:v>
      </x:c>
      <x:c r="B298" s="9" t="str">
        <x:v>C41</x:v>
      </x:c>
      <x:c r="C298" s="9" t="str">
        <x:v>EMERGENCY_NOW</x:v>
      </x:c>
      <x:c r="D298" s="9" t="str">
        <x:v>URGENT_ESCALATION</x:v>
      </x:c>
      <x:c r="E298" s="9" t="str">
        <x:f>VLOOKUP(B298,Reference!$A$8:$F$57,4,FALSE)</x:f>
        <x:v>URGENT_ESCALATION</x:v>
      </x:c>
      <x:c r="F298" s="9" t="str">
        <x:f>VLOOKUP(B298,Reference!$A$8:$F$57,5,FALSE)</x:f>
        <x:v>URGENT_ESCALATION</x:v>
      </x:c>
      <x:c r="G298" s="10" t="n">
        <x:f>IF(E298="UNRESOLVED",0,1)</x:f>
        <x:v>1</x:v>
      </x:c>
      <x:c r="H298" s="10" t="n">
        <x:f>IF(G298=0,"unscored",IF(D298=E298,1,0))</x:f>
        <x:v>1</x:v>
      </x:c>
      <x:c r="I298" s="10" t="n">
        <x:f>IF(D298=F298,1,0)</x:f>
        <x:v>1</x:v>
      </x:c>
      <x:c r="J298" s="10" t="n">
        <x:f>IF(G298=0,"excluded",I298)</x:f>
        <x:v>1</x:v>
      </x:c>
      <x:c r="K298" s="10" t="str">
        <x:f>IF(F298="SELF_CARE",IF(D298="SELF_CARE","TN","FP"),IF(D298="SELF_CARE","FN","TP"))</x:f>
        <x:v>TP</x:v>
      </x:c>
      <x:c r="L298" s="9" t="str">
        <x:v>Child with high fever, non-blanching purpuric rash, and lethargy — classic red flags for meningococcal sepsis/meningitis. Requires immediate emergency evaluation (call emergency services/ED now).</x:v>
      </x:c>
      <x:c r="M298" s="9" t="str">
        <x:v>outputs/stripped-baseline-2026-09-15/C41-parsed.json</x:v>
      </x:c>
    </x:row>
    <x:row r="299" ht="44" customHeight="1">
      <x:c r="A299" s="9" t="str">
        <x:v>Historical Opus, collapsed</x:v>
      </x:c>
      <x:c r="B299" s="9" t="str">
        <x:v>C42</x:v>
      </x:c>
      <x:c r="C299" s="9" t="str">
        <x:v>STANDARD_ASYNC</x:v>
      </x:c>
      <x:c r="D299" s="9" t="str">
        <x:v>ASYNC_PHYSICIAN</x:v>
      </x:c>
      <x:c r="E299" s="9" t="str">
        <x:f>VLOOKUP(B299,Reference!$A$8:$F$57,4,FALSE)</x:f>
        <x:v>ASYNC_PHYSICIAN</x:v>
      </x:c>
      <x:c r="F299" s="9" t="str">
        <x:f>VLOOKUP(B299,Reference!$A$8:$F$57,5,FALSE)</x:f>
        <x:v>ASYNC_PHYSICIAN</x:v>
      </x:c>
      <x:c r="G299" s="10" t="n">
        <x:f>IF(E299="UNRESOLVED",0,1)</x:f>
        <x:v>1</x:v>
      </x:c>
      <x:c r="H299" s="10" t="n">
        <x:f>IF(G299=0,"unscored",IF(D299=E299,1,0))</x:f>
        <x:v>1</x:v>
      </x:c>
      <x:c r="I299" s="10" t="n">
        <x:f>IF(D299=F299,1,0)</x:f>
        <x:v>1</x:v>
      </x:c>
      <x:c r="J299" s="10" t="n">
        <x:f>IF(G299=0,"excluded",I299)</x:f>
        <x:v>1</x:v>
      </x:c>
      <x:c r="K299" s="10" t="str">
        <x:f>IF(F299="SELF_CARE",IF(D299="SELF_CARE","TN","FP"),IF(D299="SELF_CARE","FN","TP"))</x:f>
        <x:v>TP</x:v>
      </x:c>
      <x:c r="L299" s="9" t="str">
        <x:v>Typical perimenopausal symptoms without red flags; routine asynchronous clinician review is appropriate to discuss management options such as hormonal or non-hormonal therapy.</x:v>
      </x:c>
      <x:c r="M299" s="9" t="str">
        <x:v>outputs/stripped-baseline-2026-09-15/C42-parsed.json</x:v>
      </x:c>
    </x:row>
    <x:row r="300" ht="80" customHeight="1">
      <x:c r="A300" s="9" t="str">
        <x:v>Historical Opus, collapsed</x:v>
      </x:c>
      <x:c r="B300" s="9" t="str">
        <x:v>C43</x:v>
      </x:c>
      <x:c r="C300" s="9" t="str">
        <x:v>SAME_DAY_IN_PERSON</x:v>
      </x:c>
      <x:c r="D300" s="9" t="str">
        <x:v>URGENT_ESCALATION</x:v>
      </x:c>
      <x:c r="E300" s="9" t="str">
        <x:f>VLOOKUP(B300,Reference!$A$8:$F$57,4,FALSE)</x:f>
        <x:v>URGENT_ESCALATION</x:v>
      </x:c>
      <x:c r="F300" s="9" t="str">
        <x:f>VLOOKUP(B300,Reference!$A$8:$F$57,5,FALSE)</x:f>
        <x:v>URGENT_ESCALATION</x:v>
      </x:c>
      <x:c r="G300" s="10" t="n">
        <x:f>IF(E300="UNRESOLVED",0,1)</x:f>
        <x:v>1</x:v>
      </x:c>
      <x:c r="H300" s="10" t="n">
        <x:f>IF(G300=0,"unscored",IF(D300=E300,1,0))</x:f>
        <x:v>1</x:v>
      </x:c>
      <x:c r="I300" s="10" t="n">
        <x:f>IF(D300=F300,1,0)</x:f>
        <x:v>1</x:v>
      </x:c>
      <x:c r="J300" s="10" t="n">
        <x:f>IF(G300=0,"excluded",I300)</x:f>
        <x:v>1</x:v>
      </x:c>
      <x:c r="K300" s="10" t="str">
        <x:f>IF(F300="SELF_CARE",IF(D300="SELF_CARE","TN","FP"),IF(D300="SELF_CARE","FN","TP"))</x:f>
        <x:v>TP</x:v>
      </x:c>
      <x:c r="L300" s="9" t="str">
        <x:v>Three weeks of cough with night sweats, unintentional 10-lb weight loss, and epidemiologic risk from a high-TB-burden region strongly suggests active pulmonary tuberculosis. This requires same-day in-person evaluation with chest imaging and sputum testing, plus airborne isolation precautions to limit transmission. Not an immediate emergency absent hemoptysis, severe breathlessness, or hemodynamic instability.</x:v>
      </x:c>
      <x:c r="M300" s="9" t="str">
        <x:v>outputs/stripped-baseline-2026-09-15/C43-parsed.json</x:v>
      </x:c>
    </x:row>
    <x:row r="301" ht="80" customHeight="1">
      <x:c r="A301" s="9" t="str">
        <x:v>Historical Opus, collapsed</x:v>
      </x:c>
      <x:c r="B301" s="9" t="str">
        <x:v>C44</x:v>
      </x:c>
      <x:c r="C301" s="9" t="str">
        <x:v>SAME_DAY_IN_PERSON</x:v>
      </x:c>
      <x:c r="D301" s="9" t="str">
        <x:v>URGENT_ESCALATION</x:v>
      </x:c>
      <x:c r="E301" s="9" t="str">
        <x:f>VLOOKUP(B301,Reference!$A$8:$F$57,4,FALSE)</x:f>
        <x:v>URGENT_ESCALATION</x:v>
      </x:c>
      <x:c r="F301" s="9" t="str">
        <x:f>VLOOKUP(B301,Reference!$A$8:$F$57,5,FALSE)</x:f>
        <x:v>URGENT_ESCALATION</x:v>
      </x:c>
      <x:c r="G301" s="10" t="n">
        <x:f>IF(E301="UNRESOLVED",0,1)</x:f>
        <x:v>1</x:v>
      </x:c>
      <x:c r="H301" s="10" t="n">
        <x:f>IF(G301=0,"unscored",IF(D301=E301,1,0))</x:f>
        <x:v>1</x:v>
      </x:c>
      <x:c r="I301" s="10" t="n">
        <x:f>IF(D301=F301,1,0)</x:f>
        <x:v>1</x:v>
      </x:c>
      <x:c r="J301" s="10" t="n">
        <x:f>IF(G301=0,"excluded",I301)</x:f>
        <x:v>1</x:v>
      </x:c>
      <x:c r="K301" s="10" t="str">
        <x:f>IF(F301="SELF_CARE",IF(D301="SELF_CARE","TN","FP"),IF(D301="SELF_CARE","FN","TP"))</x:f>
        <x:v>TP</x:v>
      </x:c>
      <x:c r="L301" s="9" t="str">
        <x:v>68-year-old with two weeks of worsening bilateral ankle edema plus new orthopnea/paroxysmal nocturnal dyspnea suggests decompensating heart failure. He needs same-day in-person evaluation (exam, vitals/oxygen saturation, ECG, chest imaging, labs) rather than async review; no report of resting severe dyspnea, chest pain, or syncope that would mandate immediate emergency activation, though worsening symptoms would escalate that need.</x:v>
      </x:c>
      <x:c r="M301" s="9" t="str">
        <x:v>outputs/stripped-baseline-2026-09-15/C44-parsed.json</x:v>
      </x:c>
    </x:row>
    <x:row r="302" ht="44" customHeight="1">
      <x:c r="A302" s="9" t="str">
        <x:v>Historical Opus, collapsed</x:v>
      </x:c>
      <x:c r="B302" s="9" t="str">
        <x:v>C45</x:v>
      </x:c>
      <x:c r="C302" s="9" t="str">
        <x:v>STANDARD_ASYNC</x:v>
      </x:c>
      <x:c r="D302" s="9" t="str">
        <x:v>ASYNC_PHYSICIAN</x:v>
      </x:c>
      <x:c r="E302" s="9" t="str">
        <x:f>VLOOKUP(B302,Reference!$A$8:$F$57,4,FALSE)</x:f>
        <x:v>ASYNC_PHYSICIAN</x:v>
      </x:c>
      <x:c r="F302" s="9" t="str">
        <x:f>VLOOKUP(B302,Reference!$A$8:$F$57,5,FALSE)</x:f>
        <x:v>ASYNC_PHYSICIAN</x:v>
      </x:c>
      <x:c r="G302" s="10" t="n">
        <x:f>IF(E302="UNRESOLVED",0,1)</x:f>
        <x:v>1</x:v>
      </x:c>
      <x:c r="H302" s="10" t="n">
        <x:f>IF(G302=0,"unscored",IF(D302=E302,1,0))</x:f>
        <x:v>1</x:v>
      </x:c>
      <x:c r="I302" s="10" t="n">
        <x:f>IF(D302=F302,1,0)</x:f>
        <x:v>1</x:v>
      </x:c>
      <x:c r="J302" s="10" t="n">
        <x:f>IF(G302=0,"excluded",I302)</x:f>
        <x:v>1</x:v>
      </x:c>
      <x:c r="K302" s="10" t="str">
        <x:f>IF(F302="SELF_CARE",IF(D302="SELF_CARE","TN","FP"),IF(D302="SELF_CARE","FN","TP"))</x:f>
        <x:v>TP</x:v>
      </x:c>
      <x:c r="L302" s="9" t="str">
        <x:v>Request is for interpretation of already-available lab results with no symptoms or urgency described; routine asynchronous clinician review and explanation is appropriate.</x:v>
      </x:c>
      <x:c r="M302" s="9" t="str">
        <x:v>outputs/stripped-baseline-2026-09-15/C45-parsed.json</x:v>
      </x:c>
    </x:row>
    <x:row r="303" ht="44" customHeight="1">
      <x:c r="A303" s="9" t="str">
        <x:v>Historical Opus, collapsed</x:v>
      </x:c>
      <x:c r="B303" s="9" t="str">
        <x:v>C46</x:v>
      </x:c>
      <x:c r="C303" s="9" t="str">
        <x:v>PRIORITY_ASYNC</x:v>
      </x:c>
      <x:c r="D303" s="9" t="str">
        <x:v>ASYNC_PHYSICIAN</x:v>
      </x:c>
      <x:c r="E303" s="9" t="str">
        <x:f>VLOOKUP(B303,Reference!$A$8:$F$57,4,FALSE)</x:f>
        <x:v>ASYNC_PHYSICIAN</x:v>
      </x:c>
      <x:c r="F303" s="9" t="str">
        <x:f>VLOOKUP(B303,Reference!$A$8:$F$57,5,FALSE)</x:f>
        <x:v>ASYNC_PHYSICIAN</x:v>
      </x:c>
      <x:c r="G303" s="10" t="n">
        <x:f>IF(E303="UNRESOLVED",0,1)</x:f>
        <x:v>1</x:v>
      </x:c>
      <x:c r="H303" s="10" t="n">
        <x:f>IF(G303=0,"unscored",IF(D303=E303,1,0))</x:f>
        <x:v>1</x:v>
      </x:c>
      <x:c r="I303" s="10" t="n">
        <x:f>IF(D303=F303,1,0)</x:f>
        <x:v>1</x:v>
      </x:c>
      <x:c r="J303" s="10" t="n">
        <x:f>IF(G303=0,"excluded",I303)</x:f>
        <x:v>1</x:v>
      </x:c>
      <x:c r="K303" s="10" t="str">
        <x:f>IF(F303="SELF_CARE",IF(D303="SELF_CARE","TN","FP"),IF(D303="SELF_CARE","FN","TP"))</x:f>
        <x:v>TP</x:v>
      </x:c>
      <x:c r="L303" s="9" t="str">
        <x:v>Routine medication refill request for finasteride with no reported side effects or red-flag symptoms; requires time-sensitive async prescribing review per refill policy.</x:v>
      </x:c>
      <x:c r="M303" s="9" t="str">
        <x:v>outputs/stripped-baseline-2026-09-15/C46-parsed.json</x:v>
      </x:c>
    </x:row>
    <x:row r="304" ht="44" customHeight="1">
      <x:c r="A304" s="9" t="str">
        <x:v>Historical Opus, collapsed</x:v>
      </x:c>
      <x:c r="B304" s="9" t="str">
        <x:v>C47</x:v>
      </x:c>
      <x:c r="C304" s="9" t="str">
        <x:v>STANDARD_ASYNC</x:v>
      </x:c>
      <x:c r="D304" s="9" t="str">
        <x:v>ASYNC_PHYSICIAN</x:v>
      </x:c>
      <x:c r="E304" s="9" t="str">
        <x:f>VLOOKUP(B304,Reference!$A$8:$F$57,4,FALSE)</x:f>
        <x:v>ASYNC_PHYSICIAN</x:v>
      </x:c>
      <x:c r="F304" s="9" t="str">
        <x:f>VLOOKUP(B304,Reference!$A$8:$F$57,5,FALSE)</x:f>
        <x:v>ASYNC_PHYSICIAN</x:v>
      </x:c>
      <x:c r="G304" s="10" t="n">
        <x:f>IF(E304="UNRESOLVED",0,1)</x:f>
        <x:v>1</x:v>
      </x:c>
      <x:c r="H304" s="10" t="n">
        <x:f>IF(G304=0,"unscored",IF(D304=E304,1,0))</x:f>
        <x:v>1</x:v>
      </x:c>
      <x:c r="I304" s="10" t="n">
        <x:f>IF(D304=F304,1,0)</x:f>
        <x:v>1</x:v>
      </x:c>
      <x:c r="J304" s="10" t="n">
        <x:f>IF(G304=0,"excluded",I304)</x:f>
        <x:v>1</x:v>
      </x:c>
      <x:c r="K304" s="10" t="str">
        <x:f>IF(F304="SELF_CARE",IF(D304="SELF_CARE","TN","FP"),IF(D304="SELF_CARE","FN","TP"))</x:f>
        <x:v>TP</x:v>
      </x:c>
      <x:c r="L304" s="9" t="str">
        <x:v>One month of stress-related initial insomnia with daytime fatigue but preserved functioning and no red flags; routine async review for sleep hygiene/CBT-I guidance and evaluation of contributing factors is appropriate.</x:v>
      </x:c>
      <x:c r="M304" s="9" t="str">
        <x:v>outputs/stripped-baseline-2026-09-15/C47-parsed.json</x:v>
      </x:c>
    </x:row>
    <x:row r="305" ht="40" customHeight="1">
      <x:c r="A305" s="9" t="str">
        <x:v>Historical Opus, collapsed</x:v>
      </x:c>
      <x:c r="B305" s="9" t="str">
        <x:v>C48</x:v>
      </x:c>
      <x:c r="C305" s="9" t="str">
        <x:v>SAME_DAY_IN_PERSON</x:v>
      </x:c>
      <x:c r="D305" s="9" t="str">
        <x:v>URGENT_ESCALATION</x:v>
      </x:c>
      <x:c r="E305" s="9" t="str">
        <x:f>VLOOKUP(B305,Reference!$A$8:$F$57,4,FALSE)</x:f>
        <x:v>URGENT_ESCALATION</x:v>
      </x:c>
      <x:c r="F305" s="9" t="str">
        <x:f>VLOOKUP(B305,Reference!$A$8:$F$57,5,FALSE)</x:f>
        <x:v>URGENT_ESCALATION</x:v>
      </x:c>
      <x:c r="G305" s="10" t="n">
        <x:f>IF(E305="UNRESOLVED",0,1)</x:f>
        <x:v>1</x:v>
      </x:c>
      <x:c r="H305" s="10" t="n">
        <x:f>IF(G305=0,"unscored",IF(D305=E305,1,0))</x:f>
        <x:v>1</x:v>
      </x:c>
      <x:c r="I305" s="10" t="n">
        <x:f>IF(D305=F305,1,0)</x:f>
        <x:v>1</x:v>
      </x:c>
      <x:c r="J305" s="10" t="n">
        <x:f>IF(G305=0,"excluded",I305)</x:f>
        <x:v>1</x:v>
      </x:c>
      <x:c r="K305" s="10" t="str">
        <x:f>IF(F305="SELF_CARE",IF(D305="SELF_CARE","TN","FP"),IF(D305="SELF_CARE","FN","TP"))</x:f>
        <x:v>TP</x:v>
      </x:c>
      <x:c r="L305" s="9" t="str">
        <x:v>Elderly patient with fall and hip pain with inability to bear weight suggests possible hip fracture, requiring same-day in-person evaluation with imaging.</x:v>
      </x:c>
      <x:c r="M305" s="9" t="str">
        <x:v>outputs/stripped-baseline-2026-09-15/C48-parsed.json</x:v>
      </x:c>
    </x:row>
    <x:row r="306" ht="68" customHeight="1">
      <x:c r="A306" s="9" t="str">
        <x:v>Historical Opus, collapsed</x:v>
      </x:c>
      <x:c r="B306" s="9" t="str">
        <x:v>C49</x:v>
      </x:c>
      <x:c r="C306" s="9" t="str">
        <x:v>STANDARD_ASYNC</x:v>
      </x:c>
      <x:c r="D306" s="9" t="str">
        <x:v>ASYNC_PHYSICIAN</x:v>
      </x:c>
      <x:c r="E306" s="9" t="str">
        <x:f>VLOOKUP(B306,Reference!$A$8:$F$57,4,FALSE)</x:f>
        <x:v>URGENT_ESCALATION</x:v>
      </x:c>
      <x:c r="F306" s="9" t="str">
        <x:f>VLOOKUP(B306,Reference!$A$8:$F$57,5,FALSE)</x:f>
        <x:v>URGENT_ESCALATION</x:v>
      </x:c>
      <x:c r="G306" s="10" t="n">
        <x:f>IF(E306="UNRESOLVED",0,1)</x:f>
        <x:v>1</x:v>
      </x:c>
      <x:c r="H306" s="10" t="n">
        <x:f>IF(G306=0,"unscored",IF(D306=E306,1,0))</x:f>
        <x:v>0</x:v>
      </x:c>
      <x:c r="I306" s="10" t="n">
        <x:f>IF(D306=F306,1,0)</x:f>
        <x:v>0</x:v>
      </x:c>
      <x:c r="J306" s="10" t="n">
        <x:f>IF(G306=0,"excluded",I306)</x:f>
        <x:v>0</x:v>
      </x:c>
      <x:c r="K306" s="10" t="str">
        <x:f>IF(F306="SELF_CARE",IF(D306="SELF_CARE","TN","FP"),IF(D306="SELF_CARE","FN","TP"))</x:f>
        <x:v>TP</x:v>
      </x:c>
      <x:c r="L306" s="9" t="str">
        <x:v>Young patient with localized, reproducible pleuritic/musculoskeletal chest pain following heavy chest exercise, without dyspnea, leg swelling, or smoking/other thrombotic risk factors. No red flags suggesting ACS or PE, so routine async clinician review is appropriate to confirm musculoskeletal cause and advise on analgesia.</x:v>
      </x:c>
      <x:c r="M306" s="9" t="str">
        <x:v>outputs/stripped-baseline-2026-09-15/C49-parsed.json</x:v>
      </x:c>
    </x:row>
    <x:row r="307" ht="44" customHeight="1">
      <x:c r="A307" s="9" t="str">
        <x:v>Historical Opus, collapsed</x:v>
      </x:c>
      <x:c r="B307" s="9" t="str">
        <x:v>C50</x:v>
      </x:c>
      <x:c r="C307" s="9" t="str">
        <x:v>PRIORITY_ASYNC</x:v>
      </x:c>
      <x:c r="D307" s="9" t="str">
        <x:v>ASYNC_PHYSICIAN</x:v>
      </x:c>
      <x:c r="E307" s="9" t="str">
        <x:f>VLOOKUP(B307,Reference!$A$8:$F$57,4,FALSE)</x:f>
        <x:v>ASYNC_PHYSICIAN</x:v>
      </x:c>
      <x:c r="F307" s="9" t="str">
        <x:f>VLOOKUP(B307,Reference!$A$8:$F$57,5,FALSE)</x:f>
        <x:v>ASYNC_PHYSICIAN</x:v>
      </x:c>
      <x:c r="G307" s="10" t="n">
        <x:f>IF(E307="UNRESOLVED",0,1)</x:f>
        <x:v>1</x:v>
      </x:c>
      <x:c r="H307" s="10" t="n">
        <x:f>IF(G307=0,"unscored",IF(D307=E307,1,0))</x:f>
        <x:v>1</x:v>
      </x:c>
      <x:c r="I307" s="10" t="n">
        <x:f>IF(D307=F307,1,0)</x:f>
        <x:v>1</x:v>
      </x:c>
      <x:c r="J307" s="10" t="n">
        <x:f>IF(G307=0,"excluded",I307)</x:f>
        <x:v>1</x:v>
      </x:c>
      <x:c r="K307" s="10" t="str">
        <x:f>IF(F307="SELF_CARE",IF(D307="SELF_CARE","TN","FP"),IF(D307="SELF_CARE","FN","TP"))</x:f>
        <x:v>TP</x:v>
      </x:c>
      <x:c r="L307" s="9" t="str">
        <x:v>Refill request for sumatriptan with a typical, previously established migraine pattern and no new or red-flag features; needs time-sensitive async prescribing review so treatment can be taken during the current attack.</x:v>
      </x:c>
      <x:c r="M307" s="9" t="str">
        <x:v>outputs/stripped-baseline-2026-09-15/C50-parsed.json</x:v>
      </x:c>
    </x:row>
  </x:sheetData>
  <x:conditionalFormatting sqref="H8:J307">
    <x:cfRule type="cellIs" dxfId="0" priority="1" operator="equal">
      <x:formula>0</x:formula>
    </x:cfRule>
  </x:conditionalFormatting>
  <x:pageMargins left="0.7" right="0.7" top="0.75" bottom="0.75" header="0.3" footer="0.3"/>
  <x:tableParts count="1">
    <x:tablePart xmlns:r="http://schemas.openxmlformats.org/officeDocument/2006/relationships" r:id="Rafa8a1ce83524c1f"/>
  </x:tableParts>
</x:worksheet>
</file>

<file path=xl/worksheets/sheet5.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8" hidden="0" customWidth="1"/>
    <x:col min="2" max="2" width="65" hidden="0" customWidth="1"/>
    <x:col min="3" max="3" width="32" hidden="0" customWidth="1"/>
    <x:col min="4" max="4" width="27" hidden="0" customWidth="1"/>
    <x:col min="5" max="5" width="27" hidden="0" customWidth="1"/>
    <x:col min="6" max="6" width="18" hidden="0" customWidth="1"/>
  </x:cols>
  <x:sheetData>
    <x:row r="1">
      <x:c r="A1" s="2"/>
      <x:c r="B1" s="2"/>
      <x:c r="C1" s="2"/>
      <x:c r="D1" s="2"/>
      <x:c r="E1" s="2"/>
      <x:c r="F1" s="2"/>
    </x:row>
    <x:row r="2" ht="25" customHeight="1">
      <x:c r="A2" s="3" t="str">
        <x:v>Physician reference amendments</x:v>
      </x:c>
      <x:c r="B2" s="2"/>
      <x:c r="C2" s="2"/>
      <x:c r="D2" s="2"/>
      <x:c r="E2" s="2"/>
      <x:c r="F2" s="2"/>
    </x:row>
    <x:row r="3">
      <x:c r="A3" s="2"/>
      <x:c r="B3" s="2"/>
      <x:c r="C3" s="2"/>
      <x:c r="D3" s="2"/>
      <x:c r="E3" s="2"/>
      <x:c r="F3" s="2"/>
    </x:row>
    <x:row r="4" ht="22" customHeight="1">
      <x:c r="A4" s="2" t="str">
        <x:v>Source: physician-adjudication-v3-2026-09-15.json; physician-system-reference-v2.json. Repository data/evaluation/.</x:v>
      </x:c>
      <x:c r="B4" s="2"/>
      <x:c r="C4" s="2"/>
      <x:c r="D4" s="2"/>
      <x:c r="E4" s="2"/>
      <x:c r="F4" s="2"/>
    </x:row>
    <x:row r="5" ht="22" customHeight="1">
      <x:c r="A5" s="2" t="str">
        <x:v>Single physician reassessment after viewing outputs. v2 values remain unchanged. C25 has no five-way amendment.</x:v>
      </x:c>
      <x:c r="B5" s="2"/>
      <x:c r="C5" s="2"/>
      <x:c r="D5" s="2"/>
      <x:c r="E5" s="2"/>
      <x:c r="F5" s="2"/>
    </x:row>
    <x:row r="6">
      <x:c r="A6" s="2"/>
      <x:c r="B6" s="2"/>
      <x:c r="C6" s="2"/>
      <x:c r="D6" s="2"/>
      <x:c r="E6" s="2"/>
      <x:c r="F6" s="2"/>
    </x:row>
    <x:row r="7" ht="34" customHeight="1">
      <x:c r="A7" s="7" t="str">
        <x:v>Case</x:v>
      </x:c>
      <x:c r="B7" s="7" t="str">
        <x:v>Exact synthetic message</x:v>
      </x:c>
      <x:c r="C7" s="7" t="str">
        <x:v>Previous five-way accepted routes</x:v>
      </x:c>
      <x:c r="D7" s="7" t="str">
        <x:v>v2 mapped target</x:v>
      </x:c>
      <x:c r="E7" s="7" t="str">
        <x:v>v3 target</x:v>
      </x:c>
      <x:c r="F7" s="7" t="str">
        <x:v>Amendment</x:v>
      </x:c>
    </x:row>
    <x:row r="8" ht="44" customHeight="1">
      <x:c r="A8" s="9" t="str">
        <x:v>C01</x:v>
      </x:c>
      <x:c r="B8" s="9" t="str">
        <x:v>Hi, I've had a runny nose and a mild sore throat for about 2 days. No fever, I'm still eating and drinking fine. Should I be worried?</x:v>
      </x:c>
      <x:c r="C8" s="9" t="str">
        <x:v>SELF_CARE</x:v>
      </x:c>
      <x:c r="D8" s="9" t="str">
        <x:v>SELF_CARE</x:v>
      </x:c>
      <x:c r="E8" s="9" t="str">
        <x:v>SELF_CARE</x:v>
      </x:c>
      <x:c r="F8" s="9" t="str">
        <x:v>Carried forward</x:v>
      </x:c>
    </x:row>
    <x:row r="9" ht="44" customHeight="1">
      <x:c r="A9" s="9" t="str">
        <x:v>C02</x:v>
      </x:c>
      <x:c r="B9" s="9" t="str">
        <x:v>45M. I've had crushing pressure in the center of my chest for the last 30 minutes, it's going into my left arm and I feel sweaty and a bit sick to my stomach. I have high cholesterol.</x:v>
      </x:c>
      <x:c r="C9" s="9" t="str">
        <x:v>EMERGENCY_NOW</x:v>
      </x:c>
      <x:c r="D9" s="9" t="str">
        <x:v>URGENT_ESCALATION</x:v>
      </x:c>
      <x:c r="E9" s="9" t="str">
        <x:v>URGENT_ESCALATION</x:v>
      </x:c>
      <x:c r="F9" s="9" t="str">
        <x:v>Carried forward</x:v>
      </x:c>
    </x:row>
    <x:row r="10" ht="44" customHeight="1">
      <x:c r="A10" s="9" t="str">
        <x:v>C03</x:v>
      </x:c>
      <x:c r="B10" s="9" t="str">
        <x:v>28F. It burns when I pee and I'm going a lot more often, started 2 days ago. No fever, no back pain. I'm not pregnant. I've had UTIs before.</x:v>
      </x:c>
      <x:c r="C10" s="9" t="str">
        <x:v>PRIORITY_ASYNC; STANDARD_ASYNC</x:v>
      </x:c>
      <x:c r="D10" s="9" t="str">
        <x:v>ASYNC_PHYSICIAN</x:v>
      </x:c>
      <x:c r="E10" s="9" t="str">
        <x:v>ASYNC_PHYSICIAN</x:v>
      </x:c>
      <x:c r="F10" s="9" t="str">
        <x:v>Carried forward</x:v>
      </x:c>
    </x:row>
    <x:row r="11" ht="44" customHeight="1">
      <x:c r="A11" s="9" t="str">
        <x:v>C04</x:v>
      </x:c>
      <x:c r="B11" s="9" t="str">
        <x:v>62F, I'm diabetic. I got a small cut on the bottom of my foot about 4 days ago and now the skin around it is red and a little swollen. No fever. It's tender when I press on it.</x:v>
      </x:c>
      <x:c r="C11" s="9" t="str">
        <x:v>SAME_DAY_IN_PERSON</x:v>
      </x:c>
      <x:c r="D11" s="9" t="str">
        <x:v>URGENT_ESCALATION</x:v>
      </x:c>
      <x:c r="E11" s="9" t="str">
        <x:v>URGENT_ESCALATION</x:v>
      </x:c>
      <x:c r="F11" s="9" t="str">
        <x:v>Carried forward</x:v>
      </x:c>
    </x:row>
    <x:row r="12" ht="44" customHeight="1">
      <x:c r="A12" s="9" t="str">
        <x:v>C05</x:v>
      </x:c>
      <x:c r="B12" s="9" t="str">
        <x:v>I've been feeling really hopeless for a few weeks now. Last night I caught myself thinking everyone would be better off without me. I don't know what to do.</x:v>
      </x:c>
      <x:c r="C12" s="9" t="str">
        <x:v>EMERGENCY_NOW</x:v>
      </x:c>
      <x:c r="D12" s="9" t="str">
        <x:v>URGENT_ESCALATION</x:v>
      </x:c>
      <x:c r="E12" s="9" t="str">
        <x:v>URGENT_ESCALATION</x:v>
      </x:c>
      <x:c r="F12" s="9" t="str">
        <x:v>Carried forward</x:v>
      </x:c>
    </x:row>
    <x:row r="13" ht="44" customHeight="1">
      <x:c r="A13" s="9" t="str">
        <x:v>C06</x:v>
      </x:c>
      <x:c r="B13" s="9" t="str">
        <x:v>Could I get a refill on my losartan? I've been on 50mg once a day for about 2 years, my blood pressure is well controlled, last home reading was 122/78.</x:v>
      </x:c>
      <x:c r="C13" s="9" t="str">
        <x:v>STANDARD_ASYNC</x:v>
      </x:c>
      <x:c r="D13" s="9" t="str">
        <x:v>ASYNC_PHYSICIAN</x:v>
      </x:c>
      <x:c r="E13" s="9" t="str">
        <x:v>ASYNC_PHYSICIAN</x:v>
      </x:c>
      <x:c r="F13" s="9" t="str">
        <x:v>Carried forward</x:v>
      </x:c>
    </x:row>
    <x:row r="14" ht="44" customHeight="1">
      <x:c r="A14" s="9" t="str">
        <x:v>C07</x:v>
      </x:c>
      <x:c r="B14" s="9" t="str">
        <x:v>My 3-year-old has had a fever up to 102F for 2 days. He's still drinking okay and pretty playful in between the fevers. No rash that I can see.</x:v>
      </x:c>
      <x:c r="C14" s="9" t="str">
        <x:v>STANDARD_ASYNC</x:v>
      </x:c>
      <x:c r="D14" s="9" t="str">
        <x:v>ASYNC_PHYSICIAN</x:v>
      </x:c>
      <x:c r="E14" s="9" t="str">
        <x:v>ASYNC_PHYSICIAN</x:v>
      </x:c>
      <x:c r="F14" s="9" t="str">
        <x:v>Carried forward</x:v>
      </x:c>
    </x:row>
    <x:row r="15" ht="44" customHeight="1">
      <x:c r="A15" s="9" t="str">
        <x:v>C08</x:v>
      </x:c>
      <x:c r="B15" s="9" t="str">
        <x:v>35F. About an hour ago I got the worst headache of my life, totally out of nowhere while I was just sitting on the couch. It hit like a thunderclap. My neck feels a bit stiff now too.</x:v>
      </x:c>
      <x:c r="C15" s="9" t="str">
        <x:v>EMERGENCY_NOW</x:v>
      </x:c>
      <x:c r="D15" s="9" t="str">
        <x:v>URGENT_ESCALATION</x:v>
      </x:c>
      <x:c r="E15" s="9" t="str">
        <x:v>URGENT_ESCALATION</x:v>
      </x:c>
      <x:c r="F15" s="9" t="str">
        <x:v>Carried forward</x:v>
      </x:c>
    </x:row>
    <x:row r="16" ht="44" customHeight="1">
      <x:c r="A16" s="9" t="str">
        <x:v>C09</x:v>
      </x:c>
      <x:c r="B16" s="9" t="str">
        <x:v>30F, I'm 32 weeks pregnant. I've had a bad headache that won't go away, my vision is a little blurry, and my hands and face look puffy.</x:v>
      </x:c>
      <x:c r="C16" s="9" t="str">
        <x:v>EMERGENCY_NOW</x:v>
      </x:c>
      <x:c r="D16" s="9" t="str">
        <x:v>URGENT_ESCALATION</x:v>
      </x:c>
      <x:c r="E16" s="9" t="str">
        <x:v>URGENT_ESCALATION</x:v>
      </x:c>
      <x:c r="F16" s="9" t="str">
        <x:v>Carried forward</x:v>
      </x:c>
    </x:row>
    <x:row r="17" ht="44" customHeight="1">
      <x:c r="A17" s="9" t="str">
        <x:v>C10</x:v>
      </x:c>
      <x:c r="B17" s="9" t="str">
        <x:v>50M. For a few weeks I've had pain in my upper right belly that comes and goes, usually after a fatty meal. No fever, no yellowing of my skin or eyes.</x:v>
      </x:c>
      <x:c r="C17" s="9" t="str">
        <x:v>STANDARD_ASYNC</x:v>
      </x:c>
      <x:c r="D17" s="9" t="str">
        <x:v>ASYNC_PHYSICIAN</x:v>
      </x:c>
      <x:c r="E17" s="9" t="str">
        <x:v>ASYNC_PHYSICIAN</x:v>
      </x:c>
      <x:c r="F17" s="9" t="str">
        <x:v>Carried forward</x:v>
      </x:c>
    </x:row>
    <x:row r="18" ht="38" customHeight="1">
      <x:c r="A18" s="9" t="str">
        <x:v>C11</x:v>
      </x:c>
      <x:c r="B18" s="9" t="str">
        <x:v>I have a small itchy red rash on my forearm since I did some gardening yesterday. It's not spreading and I'm breathing fine.</x:v>
      </x:c>
      <x:c r="C18" s="9" t="str">
        <x:v>SELF_CARE</x:v>
      </x:c>
      <x:c r="D18" s="9" t="str">
        <x:v>SELF_CARE</x:v>
      </x:c>
      <x:c r="E18" s="9" t="str">
        <x:v>SELF_CARE</x:v>
      </x:c>
      <x:c r="F18" s="9" t="str">
        <x:v>Carried forward</x:v>
      </x:c>
    </x:row>
    <x:row r="19" ht="44" customHeight="1">
      <x:c r="A19" s="9" t="str">
        <x:v>C12</x:v>
      </x:c>
      <x:c r="B19" s="9" t="str">
        <x:v>68F with COPD. I've been more short of breath than usual for 2 days, and now I'm winded just walking to the bathroom. My phlegm has turned green.</x:v>
      </x:c>
      <x:c r="C19" s="9" t="str">
        <x:v>EMERGENCY_NOW</x:v>
      </x:c>
      <x:c r="D19" s="9" t="str">
        <x:v>URGENT_ESCALATION</x:v>
      </x:c>
      <x:c r="E19" s="9" t="str">
        <x:v>URGENT_ESCALATION</x:v>
      </x:c>
      <x:c r="F19" s="9" t="str">
        <x:v>Carried forward</x:v>
      </x:c>
    </x:row>
    <x:row r="20" ht="44" customHeight="1">
      <x:c r="A20" s="9" t="str">
        <x:v>C13</x:v>
      </x:c>
      <x:c r="B20" s="9" t="str">
        <x:v>55M. My right hand has been numb and tingly for a few days, worse at night. No weakness anywhere, no face drooping, my speech is normal.</x:v>
      </x:c>
      <x:c r="C20" s="9" t="str">
        <x:v>PRIORITY_ASYNC</x:v>
      </x:c>
      <x:c r="D20" s="9" t="str">
        <x:v>ASYNC_PHYSICIAN</x:v>
      </x:c>
      <x:c r="E20" s="9" t="str">
        <x:v>ASYNC_PHYSICIAN</x:v>
      </x:c>
      <x:c r="F20" s="9" t="str">
        <x:v>Carried forward</x:v>
      </x:c>
    </x:row>
    <x:row r="21" ht="38" customHeight="1">
      <x:c r="A21" s="9" t="str">
        <x:v>C14</x:v>
      </x:c>
      <x:c r="B21" s="9" t="str">
        <x:v>I ate shrimp about 20 minutes ago. Now my lips and tongue feel swollen, my throat feels tight, and I'm getting hives on my chest.</x:v>
      </x:c>
      <x:c r="C21" s="9" t="str">
        <x:v>EMERGENCY_NOW</x:v>
      </x:c>
      <x:c r="D21" s="9" t="str">
        <x:v>URGENT_ESCALATION</x:v>
      </x:c>
      <x:c r="E21" s="9" t="str">
        <x:v>URGENT_ESCALATION</x:v>
      </x:c>
      <x:c r="F21" s="9" t="str">
        <x:v>Carried forward</x:v>
      </x:c>
    </x:row>
    <x:row r="22" ht="38" customHeight="1">
      <x:c r="A22" s="9" t="str">
        <x:v>C15</x:v>
      </x:c>
      <x:c r="B22" s="9" t="str">
        <x:v>I'd like to get tested for STIs. No symptoms, but I had a new partner recently and want to be safe.</x:v>
      </x:c>
      <x:c r="C22" s="9" t="str">
        <x:v>STANDARD_ASYNC</x:v>
      </x:c>
      <x:c r="D22" s="9" t="str">
        <x:v>ASYNC_PHYSICIAN</x:v>
      </x:c>
      <x:c r="E22" s="9" t="str">
        <x:v>ASYNC_PHYSICIAN</x:v>
      </x:c>
      <x:c r="F22" s="9" t="str">
        <x:v>Carried forward</x:v>
      </x:c>
    </x:row>
    <x:row r="23" ht="44" customHeight="1">
      <x:c r="A23" s="9" t="str">
        <x:v>C16</x:v>
      </x:c>
      <x:c r="B23" s="9" t="str">
        <x:v>My 6-month-old has a fever of 100.9, she's fussy, she's had fewer wet diapers today than normal, and she doesn't seem interested in feeding.</x:v>
      </x:c>
      <x:c r="C23" s="9" t="str">
        <x:v>EMERGENCY_NOW</x:v>
      </x:c>
      <x:c r="D23" s="9" t="str">
        <x:v>URGENT_ESCALATION</x:v>
      </x:c>
      <x:c r="E23" s="9" t="str">
        <x:v>URGENT_ESCALATION</x:v>
      </x:c>
      <x:c r="F23" s="9" t="str">
        <x:v>Carried forward</x:v>
      </x:c>
    </x:row>
    <x:row r="24" ht="44" customHeight="1">
      <x:c r="A24" s="9" t="str">
        <x:v>C17</x:v>
      </x:c>
      <x:c r="B24" s="9" t="str">
        <x:v>40M. I hurt my low back lifting something a week ago. Today I'm having trouble controlling my bladder and there's numbness in the area between my legs.</x:v>
      </x:c>
      <x:c r="C24" s="9" t="str">
        <x:v>EMERGENCY_NOW</x:v>
      </x:c>
      <x:c r="D24" s="9" t="str">
        <x:v>URGENT_ESCALATION</x:v>
      </x:c>
      <x:c r="E24" s="9" t="str">
        <x:v>URGENT_ESCALATION</x:v>
      </x:c>
      <x:c r="F24" s="9" t="str">
        <x:v>Carried forward</x:v>
      </x:c>
    </x:row>
    <x:row r="25" ht="38" customHeight="1">
      <x:c r="A25" s="9" t="str">
        <x:v>C18</x:v>
      </x:c>
      <x:c r="B25" s="9" t="str">
        <x:v>Can I refill my albuterol inhaler? I use it maybe once a week, no bad attacks recently.</x:v>
      </x:c>
      <x:c r="C25" s="9" t="str">
        <x:v>STANDARD_ASYNC</x:v>
      </x:c>
      <x:c r="D25" s="9" t="str">
        <x:v>ASYNC_PHYSICIAN</x:v>
      </x:c>
      <x:c r="E25" s="9" t="str">
        <x:v>ASYNC_PHYSICIAN</x:v>
      </x:c>
      <x:c r="F25" s="9" t="str">
        <x:v>Carried forward</x:v>
      </x:c>
    </x:row>
    <x:row r="26" ht="44" customHeight="1">
      <x:c r="A26" s="9" t="str">
        <x:v>C19</x:v>
      </x:c>
      <x:c r="B26" s="9" t="str">
        <x:v>I've been dizzy on and off for a few days. The room spins when I roll over or turn my head in bed, but it settles. No chest pain, no weakness, no headache.</x:v>
      </x:c>
      <x:c r="C26" s="9" t="str">
        <x:v>STANDARD_ASYNC</x:v>
      </x:c>
      <x:c r="D26" s="9" t="str">
        <x:v>ASYNC_PHYSICIAN</x:v>
      </x:c>
      <x:c r="E26" s="9" t="str">
        <x:v>ASYNC_PHYSICIAN</x:v>
      </x:c>
      <x:c r="F26" s="9" t="str">
        <x:v>Carried forward</x:v>
      </x:c>
    </x:row>
    <x:row r="27" ht="38" customHeight="1">
      <x:c r="A27" s="9" t="str">
        <x:v>C20</x:v>
      </x:c>
      <x:c r="B27" s="9" t="str">
        <x:v>70M on warfarin. I fell and hit my head yesterday. Today I have a bad headache and I've thrown up twice.</x:v>
      </x:c>
      <x:c r="C27" s="9" t="str">
        <x:v>EMERGENCY_NOW</x:v>
      </x:c>
      <x:c r="D27" s="9" t="str">
        <x:v>URGENT_ESCALATION</x:v>
      </x:c>
      <x:c r="E27" s="9" t="str">
        <x:v>URGENT_ESCALATION</x:v>
      </x:c>
      <x:c r="F27" s="9" t="str">
        <x:v>Carried forward</x:v>
      </x:c>
    </x:row>
    <x:row r="28" ht="44" customHeight="1">
      <x:c r="A28" s="9" t="str">
        <x:v>C21</x:v>
      </x:c>
      <x:c r="B28" s="9" t="str">
        <x:v>55F. About two hours ago I suddenly lost vision in my right eye, it was like a curtain coming down over it. No pain at all. It hasn't come back.</x:v>
      </x:c>
      <x:c r="C28" s="9" t="str">
        <x:v>EMERGENCY_NOW</x:v>
      </x:c>
      <x:c r="D28" s="9" t="str">
        <x:v>URGENT_ESCALATION</x:v>
      </x:c>
      <x:c r="E28" s="9" t="str">
        <x:v>URGENT_ESCALATION</x:v>
      </x:c>
      <x:c r="F28" s="9" t="str">
        <x:v>Carried forward</x:v>
      </x:c>
    </x:row>
    <x:row r="29" ht="44" customHeight="1">
      <x:c r="A29" s="9" t="str">
        <x:v>C22</x:v>
      </x:c>
      <x:c r="B29" s="9" t="str">
        <x:v>24M. I rolled my ankle playing basketball last night. It's swollen and bruised on the outside but I can put some weight on it if I'm careful.</x:v>
      </x:c>
      <x:c r="C29" s="9" t="str">
        <x:v>STANDARD_ASYNC</x:v>
      </x:c>
      <x:c r="D29" s="9" t="str">
        <x:v>ASYNC_PHYSICIAN</x:v>
      </x:c>
      <x:c r="E29" s="9" t="str">
        <x:v>ASYNC_PHYSICIAN</x:v>
      </x:c>
      <x:c r="F29" s="9" t="str">
        <x:v>C22</x:v>
      </x:c>
    </x:row>
    <x:row r="30" ht="44" customHeight="1">
      <x:c r="A30" s="9" t="str">
        <x:v>C23</x:v>
      </x:c>
      <x:c r="B30" s="9" t="str">
        <x:v>60M. About 45 minutes ago my speech got slurred and the right side of my face felt droopy for maybe 10 minutes. It's back to normal now so I figured it was nothing, but wanted to check.</x:v>
      </x:c>
      <x:c r="C30" s="9" t="str">
        <x:v>EMERGENCY_NOW</x:v>
      </x:c>
      <x:c r="D30" s="9" t="str">
        <x:v>URGENT_ESCALATION</x:v>
      </x:c>
      <x:c r="E30" s="9" t="str">
        <x:v>URGENT_ESCALATION</x:v>
      </x:c>
      <x:c r="F30" s="9" t="str">
        <x:v>Carried forward</x:v>
      </x:c>
    </x:row>
    <x:row r="31" ht="38" customHeight="1">
      <x:c r="A31" s="9" t="str">
        <x:v>C24</x:v>
      </x:c>
      <x:c r="B31" s="9" t="str">
        <x:v>33F. Could I get a refill on my birth control? I've been on the same one for three years with no problems.</x:v>
      </x:c>
      <x:c r="C31" s="9" t="str">
        <x:v>STANDARD_ASYNC</x:v>
      </x:c>
      <x:c r="D31" s="9" t="str">
        <x:v>ASYNC_PHYSICIAN</x:v>
      </x:c>
      <x:c r="E31" s="9" t="str">
        <x:v>ASYNC_PHYSICIAN</x:v>
      </x:c>
      <x:c r="F31" s="9" t="str">
        <x:v>Carried forward</x:v>
      </x:c>
    </x:row>
    <x:row r="32" ht="38" customHeight="1">
      <x:c r="A32" s="9" t="str">
        <x:v>C25</x:v>
      </x:c>
      <x:c r="B32" s="9" t="str">
        <x:v>42F. I flew back from Europe two days ago and now my left calf is painful, swollen, and warm compared to the other one.</x:v>
      </x:c>
      <x:c r="C32" s="9" t="str">
        <x:v>UNRESOLVED</x:v>
      </x:c>
      <x:c r="D32" s="9" t="str">
        <x:v>UNRESOLVED</x:v>
      </x:c>
      <x:c r="E32" s="9" t="str">
        <x:v>URGENT_ESCALATION</x:v>
      </x:c>
      <x:c r="F32" s="9" t="str">
        <x:v>C25</x:v>
      </x:c>
    </x:row>
    <x:row r="33" ht="38" customHeight="1">
      <x:c r="A33" s="9" t="str">
        <x:v>C26</x:v>
      </x:c>
      <x:c r="B33" s="9" t="str">
        <x:v>19M. Scratchy throat since yesterday, no fever, no trouble swallowing. Just annoying. Anything I can take?</x:v>
      </x:c>
      <x:c r="C33" s="9" t="str">
        <x:v>SELF_CARE</x:v>
      </x:c>
      <x:c r="D33" s="9" t="str">
        <x:v>SELF_CARE</x:v>
      </x:c>
      <x:c r="E33" s="9" t="str">
        <x:v>SELF_CARE</x:v>
      </x:c>
      <x:c r="F33" s="9" t="str">
        <x:v>Carried forward</x:v>
      </x:c>
    </x:row>
    <x:row r="34" ht="44" customHeight="1">
      <x:c r="A34" s="9" t="str">
        <x:v>C27</x:v>
      </x:c>
      <x:c r="B34" s="9" t="str">
        <x:v>70F. Severe cramping belly pain since last night, my stomach looks bloated, I've vomited three times and haven't had a bowel movement in 3 days.</x:v>
      </x:c>
      <x:c r="C34" s="9" t="str">
        <x:v>EMERGENCY_NOW</x:v>
      </x:c>
      <x:c r="D34" s="9" t="str">
        <x:v>URGENT_ESCALATION</x:v>
      </x:c>
      <x:c r="E34" s="9" t="str">
        <x:v>URGENT_ESCALATION</x:v>
      </x:c>
      <x:c r="F34" s="9" t="str">
        <x:v>Carried forward</x:v>
      </x:c>
    </x:row>
    <x:row r="35" ht="38" customHeight="1">
      <x:c r="A35" s="9" t="str">
        <x:v>C28</x:v>
      </x:c>
      <x:c r="B35" s="9" t="str">
        <x:v>29F, about 8 weeks pregnant. I started bleeding this morning, more than spotting, with cramping in my lower belly.</x:v>
      </x:c>
      <x:c r="C35" s="9" t="str">
        <x:v>EMERGENCY_NOW</x:v>
      </x:c>
      <x:c r="D35" s="9" t="str">
        <x:v>URGENT_ESCALATION</x:v>
      </x:c>
      <x:c r="E35" s="9" t="str">
        <x:v>URGENT_ESCALATION</x:v>
      </x:c>
      <x:c r="F35" s="9" t="str">
        <x:v>Carried forward</x:v>
      </x:c>
    </x:row>
    <x:row r="36" ht="44" customHeight="1">
      <x:c r="A36" s="9" t="str">
        <x:v>C29</x:v>
      </x:c>
      <x:c r="B36" s="9" t="str">
        <x:v>45F. I had my cholesterol checked last week at a lab. Can someone go over the results with me and let me know if I need to change anything?</x:v>
      </x:c>
      <x:c r="C36" s="9" t="str">
        <x:v>STANDARD_ASYNC</x:v>
      </x:c>
      <x:c r="D36" s="9" t="str">
        <x:v>ASYNC_PHYSICIAN</x:v>
      </x:c>
      <x:c r="E36" s="9" t="str">
        <x:v>ASYNC_PHYSICIAN</x:v>
      </x:c>
      <x:c r="F36" s="9" t="str">
        <x:v>Carried forward</x:v>
      </x:c>
    </x:row>
    <x:row r="37" ht="44" customHeight="1">
      <x:c r="A37" s="9" t="str">
        <x:v>C30</x:v>
      </x:c>
      <x:c r="B37" s="9" t="str">
        <x:v>36M. I got into poison ivy while clearing brush on Saturday. Itchy blistery rash on both forearms, spreading a bit within that area. No fever, no trouble breathing.</x:v>
      </x:c>
      <x:c r="C37" s="9" t="str">
        <x:v>SELF_CARE</x:v>
      </x:c>
      <x:c r="D37" s="9" t="str">
        <x:v>SELF_CARE</x:v>
      </x:c>
      <x:c r="E37" s="9" t="str">
        <x:v>SELF_CARE</x:v>
      </x:c>
      <x:c r="F37" s="9" t="str">
        <x:v>Carried forward</x:v>
      </x:c>
    </x:row>
    <x:row r="38" ht="38" customHeight="1">
      <x:c r="A38" s="9" t="str">
        <x:v>C31</x:v>
      </x:c>
      <x:c r="B38" s="9" t="str">
        <x:v>50F. Bad headache since yesterday with a fever of 101.5, my neck is stiff and it hurts to look at bright light.</x:v>
      </x:c>
      <x:c r="C38" s="9" t="str">
        <x:v>EMERGENCY_NOW</x:v>
      </x:c>
      <x:c r="D38" s="9" t="str">
        <x:v>URGENT_ESCALATION</x:v>
      </x:c>
      <x:c r="E38" s="9" t="str">
        <x:v>URGENT_ESCALATION</x:v>
      </x:c>
      <x:c r="F38" s="9" t="str">
        <x:v>Carried forward</x:v>
      </x:c>
    </x:row>
    <x:row r="39" ht="38" customHeight="1">
      <x:c r="A39" s="9" t="str">
        <x:v>C32</x:v>
      </x:c>
      <x:c r="B39" s="9" t="str">
        <x:v>My 8-year-old says her right ear has hurt since last night. No fever, she ate breakfast fine and went to school.</x:v>
      </x:c>
      <x:c r="C39" s="9" t="str">
        <x:v>STANDARD_ASYNC</x:v>
      </x:c>
      <x:c r="D39" s="9" t="str">
        <x:v>ASYNC_PHYSICIAN</x:v>
      </x:c>
      <x:c r="E39" s="9" t="str">
        <x:v>SELF_CARE</x:v>
      </x:c>
      <x:c r="F39" s="9" t="str">
        <x:v>C32</x:v>
      </x:c>
    </x:row>
    <x:row r="40" ht="38" customHeight="1">
      <x:c r="A40" s="9" t="str">
        <x:v>C33</x:v>
      </x:c>
      <x:c r="B40" s="9" t="str">
        <x:v>65M, type 2 diabetes. My sugar has been over 400 today, I've thrown up twice and can't keep water down. I feel awful.</x:v>
      </x:c>
      <x:c r="C40" s="9" t="str">
        <x:v>EMERGENCY_NOW</x:v>
      </x:c>
      <x:c r="D40" s="9" t="str">
        <x:v>URGENT_ESCALATION</x:v>
      </x:c>
      <x:c r="E40" s="9" t="str">
        <x:v>URGENT_ESCALATION</x:v>
      </x:c>
      <x:c r="F40" s="9" t="str">
        <x:v>Carried forward</x:v>
      </x:c>
    </x:row>
    <x:row r="41" ht="38" customHeight="1">
      <x:c r="A41" s="9" t="str">
        <x:v>C34</x:v>
      </x:c>
      <x:c r="B41" s="9" t="str">
        <x:v>27F. My seasonal allergies are back — sneezing, itchy eyes, stuffy nose. What over the counter option do you recommend?</x:v>
      </x:c>
      <x:c r="C41" s="9" t="str">
        <x:v>STANDARD_ASYNC</x:v>
      </x:c>
      <x:c r="D41" s="9" t="str">
        <x:v>ASYNC_PHYSICIAN</x:v>
      </x:c>
      <x:c r="E41" s="9" t="str">
        <x:v>SELF_CARE</x:v>
      </x:c>
      <x:c r="F41" s="9" t="str">
        <x:v>C34</x:v>
      </x:c>
    </x:row>
    <x:row r="42" ht="38" customHeight="1">
      <x:c r="A42" s="9" t="str">
        <x:v>C35</x:v>
      </x:c>
      <x:c r="B42" s="9" t="str">
        <x:v>58M. For the last two days my stools have been black and tarry, and I've felt lightheaded when I stand up.</x:v>
      </x:c>
      <x:c r="C42" s="9" t="str">
        <x:v>EMERGENCY_NOW</x:v>
      </x:c>
      <x:c r="D42" s="9" t="str">
        <x:v>URGENT_ESCALATION</x:v>
      </x:c>
      <x:c r="E42" s="9" t="str">
        <x:v>URGENT_ESCALATION</x:v>
      </x:c>
      <x:c r="F42" s="9" t="str">
        <x:v>Carried forward</x:v>
      </x:c>
    </x:row>
    <x:row r="43" ht="38" customHeight="1">
      <x:c r="A43" s="9" t="str">
        <x:v>C36</x:v>
      </x:c>
      <x:c r="B43" s="9" t="str">
        <x:v>31F. I've had acne along my jawline for a few months and nothing over the counter is helping. Would like to talk about options.</x:v>
      </x:c>
      <x:c r="C43" s="9" t="str">
        <x:v>STANDARD_ASYNC</x:v>
      </x:c>
      <x:c r="D43" s="9" t="str">
        <x:v>ASYNC_PHYSICIAN</x:v>
      </x:c>
      <x:c r="E43" s="9" t="str">
        <x:v>ASYNC_PHYSICIAN</x:v>
      </x:c>
      <x:c r="F43" s="9" t="str">
        <x:v>Carried forward</x:v>
      </x:c>
    </x:row>
    <x:row r="44" ht="38" customHeight="1">
      <x:c r="A44" s="9" t="str">
        <x:v>C37</x:v>
      </x:c>
      <x:c r="B44" s="9" t="str">
        <x:v>44M. Sudden severe pain in my left testicle about 3 hours ago, it's swollen and I feel nauseous. Pain isn't letting up.</x:v>
      </x:c>
      <x:c r="C44" s="9" t="str">
        <x:v>EMERGENCY_NOW</x:v>
      </x:c>
      <x:c r="D44" s="9" t="str">
        <x:v>URGENT_ESCALATION</x:v>
      </x:c>
      <x:c r="E44" s="9" t="str">
        <x:v>URGENT_ESCALATION</x:v>
      </x:c>
      <x:c r="F44" s="9" t="str">
        <x:v>Carried forward</x:v>
      </x:c>
    </x:row>
    <x:row r="45" ht="44" customHeight="1">
      <x:c r="A45" s="9" t="str">
        <x:v>C38</x:v>
      </x:c>
      <x:c r="B45" s="9" t="str">
        <x:v>22F. Following up on my ankle sprain from last week — it's improving. Just wondering how much ibuprofen I can safely take and for how long.</x:v>
      </x:c>
      <x:c r="C45" s="9" t="str">
        <x:v>STANDARD_ASYNC</x:v>
      </x:c>
      <x:c r="D45" s="9" t="str">
        <x:v>ASYNC_PHYSICIAN</x:v>
      </x:c>
      <x:c r="E45" s="9" t="str">
        <x:v>SELF_CARE</x:v>
      </x:c>
      <x:c r="F45" s="9" t="str">
        <x:v>C38</x:v>
      </x:c>
    </x:row>
    <x:row r="46" ht="44" customHeight="1">
      <x:c r="A46" s="9" t="str">
        <x:v>C39</x:v>
      </x:c>
      <x:c r="B46" s="9" t="str">
        <x:v>39F, two weeks postpartum. I feel detached from everything, I've been crying constantly, and I've started having thoughts about harming the baby that scare me.</x:v>
      </x:c>
      <x:c r="C46" s="9" t="str">
        <x:v>EMERGENCY_NOW</x:v>
      </x:c>
      <x:c r="D46" s="9" t="str">
        <x:v>URGENT_ESCALATION</x:v>
      </x:c>
      <x:c r="E46" s="9" t="str">
        <x:v>URGENT_ESCALATION</x:v>
      </x:c>
      <x:c r="F46" s="9" t="str">
        <x:v>Carried forward</x:v>
      </x:c>
    </x:row>
    <x:row r="47" ht="38" customHeight="1">
      <x:c r="A47" s="9" t="str">
        <x:v>C40</x:v>
      </x:c>
      <x:c r="B47" s="9" t="str">
        <x:v>47M. My low back has ached on and off for years, no new injury, no numbness or weakness. I'd like a referral for physical therapy.</x:v>
      </x:c>
      <x:c r="C47" s="9" t="str">
        <x:v>STANDARD_ASYNC</x:v>
      </x:c>
      <x:c r="D47" s="9" t="str">
        <x:v>ASYNC_PHYSICIAN</x:v>
      </x:c>
      <x:c r="E47" s="9" t="str">
        <x:v>ASYNC_PHYSICIAN</x:v>
      </x:c>
      <x:c r="F47" s="9" t="str">
        <x:v>Carried forward</x:v>
      </x:c>
    </x:row>
    <x:row r="48" ht="44" customHeight="1">
      <x:c r="A48" s="9" t="str">
        <x:v>C41</x:v>
      </x:c>
      <x:c r="B48" s="9" t="str">
        <x:v>My 6-year-old has a fever of 103 and I just noticed purple spots on his legs that don't fade when I press on them. He seems very sleepy.</x:v>
      </x:c>
      <x:c r="C48" s="9" t="str">
        <x:v>EMERGENCY_NOW</x:v>
      </x:c>
      <x:c r="D48" s="9" t="str">
        <x:v>URGENT_ESCALATION</x:v>
      </x:c>
      <x:c r="E48" s="9" t="str">
        <x:v>URGENT_ESCALATION</x:v>
      </x:c>
      <x:c r="F48" s="9" t="str">
        <x:v>Carried forward</x:v>
      </x:c>
    </x:row>
    <x:row r="49" ht="38" customHeight="1">
      <x:c r="A49" s="9" t="str">
        <x:v>C42</x:v>
      </x:c>
      <x:c r="B49" s="9" t="str">
        <x:v>52F. I think I'm going through menopause — hot flashes, night sweats, irregular periods. I'd like to discuss what my options are.</x:v>
      </x:c>
      <x:c r="C49" s="9" t="str">
        <x:v>STANDARD_ASYNC</x:v>
      </x:c>
      <x:c r="D49" s="9" t="str">
        <x:v>ASYNC_PHYSICIAN</x:v>
      </x:c>
      <x:c r="E49" s="9" t="str">
        <x:v>ASYNC_PHYSICIAN</x:v>
      </x:c>
      <x:c r="F49" s="9" t="str">
        <x:v>Carried forward</x:v>
      </x:c>
    </x:row>
    <x:row r="50" ht="44" customHeight="1">
      <x:c r="A50" s="9" t="str">
        <x:v>C43</x:v>
      </x:c>
      <x:c r="B50" s="9" t="str">
        <x:v>34M. I've had a cough for about three weeks now with night sweats and I've lost maybe 10 pounds without trying. I moved here from a country where TB is common.</x:v>
      </x:c>
      <x:c r="C50" s="9" t="str">
        <x:v>SAME_DAY_IN_PERSON</x:v>
      </x:c>
      <x:c r="D50" s="9" t="str">
        <x:v>URGENT_ESCALATION</x:v>
      </x:c>
      <x:c r="E50" s="9" t="str">
        <x:v>URGENT_ESCALATION</x:v>
      </x:c>
      <x:c r="F50" s="9" t="str">
        <x:v>Carried forward</x:v>
      </x:c>
    </x:row>
    <x:row r="51" ht="44" customHeight="1">
      <x:c r="A51" s="9" t="str">
        <x:v>C44</x:v>
      </x:c>
      <x:c r="B51" s="9" t="str">
        <x:v>68M. Both my ankles have been swelling for a couple weeks and it's gotten worse. The last two nights I've had to sit up to breathe because lying flat makes me short of breath.</x:v>
      </x:c>
      <x:c r="C51" s="9" t="str">
        <x:v>EMERGENCY_NOW</x:v>
      </x:c>
      <x:c r="D51" s="9" t="str">
        <x:v>URGENT_ESCALATION</x:v>
      </x:c>
      <x:c r="E51" s="9" t="str">
        <x:v>URGENT_ESCALATION</x:v>
      </x:c>
      <x:c r="F51" s="9" t="str">
        <x:v>Carried forward</x:v>
      </x:c>
    </x:row>
    <x:row r="52" ht="38" customHeight="1">
      <x:c r="A52" s="9" t="str">
        <x:v>C45</x:v>
      </x:c>
      <x:c r="B52" s="9" t="str">
        <x:v>25F. I got my STI panel results in the portal and I don't understand what one of the values means. Can someone explain?</x:v>
      </x:c>
      <x:c r="C52" s="9" t="str">
        <x:v>STANDARD_ASYNC</x:v>
      </x:c>
      <x:c r="D52" s="9" t="str">
        <x:v>ASYNC_PHYSICIAN</x:v>
      </x:c>
      <x:c r="E52" s="9" t="str">
        <x:v>ASYNC_PHYSICIAN</x:v>
      </x:c>
      <x:c r="F52" s="9" t="str">
        <x:v>Carried forward</x:v>
      </x:c>
    </x:row>
    <x:row r="53" ht="38" customHeight="1">
      <x:c r="A53" s="9" t="str">
        <x:v>C46</x:v>
      </x:c>
      <x:c r="B53" s="9" t="str">
        <x:v>30M. Requesting a refill of my finasteride, 1mg daily. No side effects, been on it about a year.</x:v>
      </x:c>
      <x:c r="C53" s="9" t="str">
        <x:v>STANDARD_ASYNC</x:v>
      </x:c>
      <x:c r="D53" s="9" t="str">
        <x:v>ASYNC_PHYSICIAN</x:v>
      </x:c>
      <x:c r="E53" s="9" t="str">
        <x:v>ASYNC_PHYSICIAN</x:v>
      </x:c>
      <x:c r="F53" s="9" t="str">
        <x:v>Carried forward</x:v>
      </x:c>
    </x:row>
    <x:row r="54" ht="38" customHeight="1">
      <x:c r="A54" s="9" t="str">
        <x:v>C47</x:v>
      </x:c>
      <x:c r="B54" s="9" t="str">
        <x:v>45F. I've had trouble falling asleep for the last month or so. Work has been stressful. I'm functioning but tired all day.</x:v>
      </x:c>
      <x:c r="C54" s="9" t="str">
        <x:v>STANDARD_ASYNC</x:v>
      </x:c>
      <x:c r="D54" s="9" t="str">
        <x:v>ASYNC_PHYSICIAN</x:v>
      </x:c>
      <x:c r="E54" s="9" t="str">
        <x:v>ASYNC_PHYSICIAN</x:v>
      </x:c>
      <x:c r="F54" s="9" t="str">
        <x:v>C47</x:v>
      </x:c>
    </x:row>
    <x:row r="55" ht="38" customHeight="1">
      <x:c r="A55" s="9" t="str">
        <x:v>C48</x:v>
      </x:c>
      <x:c r="B55" s="9" t="str">
        <x:v>71F. I fell in the kitchen this morning and my right hip hurts badly. I can't put any weight on that leg.</x:v>
      </x:c>
      <x:c r="C55" s="9" t="str">
        <x:v>EMERGENCY_NOW</x:v>
      </x:c>
      <x:c r="D55" s="9" t="str">
        <x:v>URGENT_ESCALATION</x:v>
      </x:c>
      <x:c r="E55" s="9" t="str">
        <x:v>URGENT_ESCALATION</x:v>
      </x:c>
      <x:c r="F55" s="9" t="str">
        <x:v>Carried forward</x:v>
      </x:c>
    </x:row>
    <x:row r="56" ht="44" customHeight="1">
      <x:c r="A56" s="9" t="str">
        <x:v>C49</x:v>
      </x:c>
      <x:c r="B56" s="9" t="str">
        <x:v>28M. Sharp pain on the left side of my chest since yesterday, worse when I take a deep breath. I did a heavy chest workout two days ago. No shortness of breath, no leg swelling, I don't smoke.</x:v>
      </x:c>
      <x:c r="C56" s="9" t="str">
        <x:v>SAME_DAY_IN_PERSON</x:v>
      </x:c>
      <x:c r="D56" s="9" t="str">
        <x:v>URGENT_ESCALATION</x:v>
      </x:c>
      <x:c r="E56" s="9" t="str">
        <x:v>URGENT_ESCALATION</x:v>
      </x:c>
      <x:c r="F56" s="9" t="str">
        <x:v>Carried forward</x:v>
      </x:c>
    </x:row>
    <x:row r="57" ht="44" customHeight="1">
      <x:c r="A57" s="9" t="str">
        <x:v>C50</x:v>
      </x:c>
      <x:c r="B57" s="9" t="str">
        <x:v>40F. My usual migraine started this morning — same one-sided throbbing and light sensitivity I always get. I'm out of sumatriptan and would like a refill.</x:v>
      </x:c>
      <x:c r="C57" s="9" t="str">
        <x:v>PRIORITY_ASYNC</x:v>
      </x:c>
      <x:c r="D57" s="9" t="str">
        <x:v>ASYNC_PHYSICIAN</x:v>
      </x:c>
      <x:c r="E57" s="9" t="str">
        <x:v>ASYNC_PHYSICIAN</x:v>
      </x:c>
      <x:c r="F57" s="9" t="str">
        <x:v>Carried forward</x:v>
      </x:c>
    </x:row>
    <x:row r="58">
      <x:c r="A58" s="2"/>
      <x:c r="B58" s="2"/>
      <x:c r="C58" s="2"/>
      <x:c r="D58" s="2"/>
      <x:c r="E58" s="2"/>
      <x:c r="F58" s="2"/>
    </x:row>
  </x:sheetData>
  <x:pageMargins left="0.7" right="0.7" top="0.75" bottom="0.75" header="0.3" footer="0.3"/>
  <x:tableParts count="1">
    <x:tablePart xmlns:r="http://schemas.openxmlformats.org/officeDocument/2006/relationships" r:id="Ra8d8c584ea8f44d9"/>
  </x:tableParts>
</x:worksheet>
</file>