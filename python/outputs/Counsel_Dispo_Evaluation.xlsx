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22e1b9afb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Summary" sheetId="1" r:id="Ra3c27011501041e0"/>
    <x:sheet xmlns:r="http://schemas.openxmlformats.org/officeDocument/2006/relationships" name="Case Review" sheetId="2" r:id="R196bb46a84c24343"/>
    <x:sheet xmlns:r="http://schemas.openxmlformats.org/officeDocument/2006/relationships" name="Scale Plan" sheetId="3" r:id="Rd6bb063962e04d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sz val="11"/>
      <x:color rgb="FF173C39"/>
      <x:name val="Arial"/>
    </x:font>
    <x:font>
      <x:b/>
      <x:sz val="20"/>
      <x:color rgb="FF173C39"/>
      <x:name val="Arial"/>
    </x:font>
    <x:font>
      <x:i/>
      <x:sz val="11"/>
      <x:color rgb="FF607873"/>
      <x:name val="Arial"/>
    </x:font>
    <x:font>
      <x:sz val="9"/>
      <x:color rgb="FF7A908A"/>
      <x:name val="Arial"/>
    </x:font>
    <x:font>
      <x:b/>
      <x:sz val="9"/>
      <x:color rgb="FF718781"/>
      <x:name val="Arial"/>
    </x:font>
    <x:font>
      <x:b/>
      <x:sz val="22"/>
      <x:color rgb="FF173C39"/>
      <x:name val="Arial"/>
    </x:font>
    <x:font>
      <x:b/>
      <x:sz val="22"/>
      <x:color rgb="FF9B3733"/>
      <x:name val="Arial"/>
    </x:font>
    <x:font>
      <x:sz val="9"/>
      <x:color rgb="FF607873"/>
      <x:name val="Arial"/>
    </x:font>
    <x:font>
      <x:b/>
      <x:sz val="10"/>
      <x:color rgb="FF17634F"/>
      <x:name val="Arial"/>
    </x:font>
    <x:font>
      <x:sz val="12"/>
      <x:color rgb="FF173C39"/>
      <x:name val="Arial"/>
    </x:font>
    <x:font>
      <x:b/>
      <x:sz val="13"/>
      <x:color rgb="FF173C39"/>
      <x:name val="Arial"/>
    </x:font>
    <x:font>
      <x:b/>
      <x:sz val="10"/>
      <x:color rgb="FFFFFFFF"/>
      <x:name val="Arial"/>
    </x:font>
    <x:font>
      <x:sz val="10"/>
      <x:color rgb="FF173C39"/>
      <x:name val="Arial"/>
    </x:font>
    <x:font>
      <x:b/>
      <x:sz val="10"/>
      <x:color rgb="FF9B3733"/>
      <x:name val="Arial"/>
    </x:font>
    <x:font>
      <x:b/>
      <x:sz val="11"/>
      <x:color rgb="FF17634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7F4EE"/>
      </x:patternFill>
    </x:fill>
    <x:fill>
      <x:patternFill patternType="solid">
        <x:fgColor rgb="FF173C39"/>
      </x:patternFill>
    </x:fill>
    <x:fill>
      <x:patternFill patternType="solid">
        <x:fgColor rgb="FFFFFFFF"/>
      </x:patternFill>
    </x:fill>
    <x:fill>
      <x:patternFill patternType="solid">
        <x:fgColor rgb="FFF7F9F7"/>
      </x:patternFill>
    </x:fill>
  </x:fills>
  <x:borders count="3">
    <x:border/>
    <x:border>
      <x:bottom style="thin">
        <x:color rgb="FFD9E3DF"/>
      </x:bottom>
    </x:border>
    <x:border>
      <x:left style="thin">
        <x:color rgb="FFD9E3DF"/>
      </x:left>
      <x:right style="thin">
        <x:color rgb="FFD9E3DF"/>
      </x:right>
      <x:top style="thin">
        <x:color rgb="FFD9E3DF"/>
      </x:top>
      <x:bottom style="thin">
        <x:color rgb="FFD9E3DF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/>
    <x:xf numFmtId="0" fontId="9" fillId="2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" fillId="3" borderId="0" xfId="0" applyNumberFormat="1" applyFont="1" applyFill="1" applyBorder="1"/>
    <x:xf numFmtId="0" fontId="12" fillId="3" borderId="0" xfId="0" applyNumberFormat="1" applyFont="1" applyFill="1" applyBorder="1"/>
    <x:xf numFmtId="0" fontId="12" fillId="3" borderId="2" xfId="0" applyNumberFormat="1" applyFont="1" applyFill="1" applyBorder="1"/>
    <x:xf numFmtId="0" fontId="12" fillId="3" borderId="2" xfId="0" applyNumberFormat="1" applyFont="1" applyFill="1" applyBorder="1" applyAlignment="1">
      <x:alignment wrapText="1"/>
    </x:xf>
    <x:xf numFmtId="0" fontId="12" fillId="3" borderId="2" xfId="0" applyNumberFormat="1" applyFont="1" applyFill="1" applyBorder="1" applyAlignment="1">
      <x:alignment horizontal="center" wrapText="1"/>
    </x:xf>
    <x:xf numFmtId="0" fontId="12" fillId="3" borderId="2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3" fillId="4" borderId="0" xfId="0" applyNumberFormat="1" applyFont="1" applyFill="1" applyBorder="1"/>
    <x:xf numFmtId="0" fontId="13" fillId="4" borderId="2" xfId="0" applyNumberFormat="1" applyFont="1" applyFill="1" applyBorder="1"/>
    <x:xf numFmtId="0" fontId="13" fillId="4" borderId="2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vertical="top" wrapText="1"/>
    </x:xf>
    <x:xf numFmtId="0" fontId="14" fillId="4" borderId="2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2" xfId="0" applyNumberFormat="1" applyFont="1" applyFill="1" applyBorder="1"/>
    <x:xf numFmtId="0" fontId="13" fillId="5" borderId="2" xfId="0" applyNumberFormat="1" applyFont="1" applyFill="1" applyBorder="1" applyAlignment="1">
      <x:alignment wrapText="1"/>
    </x:xf>
    <x:xf numFmtId="0" fontId="13" fillId="5" borderId="2" xfId="0" applyNumberFormat="1" applyFont="1" applyFill="1" applyBorder="1" applyAlignment="1">
      <x:alignment vertical="top" wrapText="1"/>
    </x:xf>
    <x:xf numFmtId="0" fontId="14" fillId="5" borderId="2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/>
    <x:xf numFmtId="0" fontId="13" fillId="0" borderId="2" xfId="0" applyNumberFormat="1" applyFont="1" applyFill="1" applyBorder="1"/>
    <x:xf numFmtId="0" fontId="13" fillId="0" borderId="2" xfId="0" applyNumberFormat="1" applyFont="1" applyFill="1" applyBorder="1" applyAlignment="1">
      <x:alignment wrapText="1"/>
    </x:xf>
    <x:xf numFmtId="0" fontId="13" fillId="0" borderId="2" xfId="0" applyNumberFormat="1" applyFont="1" applyFill="1" applyBorder="1" applyAlignment="1">
      <x:alignment vertical="top" wrapText="1"/>
    </x:xf>
    <x:xf numFmtId="0" fontId="13" fillId="0" borderId="2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5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5" fillId="5" borderId="0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9B3733"/>
      </x:font>
      <x:fill>
        <x:patternFill patternType="solid">
          <x:bgColor rgb="FFFBE9E7"/>
        </x:patternFill>
      </x:fill>
    </x:dxf>
    <x:dxf>
      <x:font>
        <x:b/>
        <x:color rgb="FF815618"/>
      </x:font>
      <x:fill>
        <x:patternFill patternType="solid">
          <x:bgColor rgb="FFFFF3DB"/>
        </x:patternFill>
      </x:fill>
    </x:dxf>
    <x:dxf>
      <x:font>
        <x:color rgb="FF17634F"/>
      </x:font>
      <x:fill>
        <x:patternFill patternType="solid">
          <x:bgColor rgb="FFE7F4EE"/>
        </x:patternFill>
      </x:fill>
    </x:dxf>
    <x:dxf>
      <x:font>
        <x:b/>
        <x:color rgb="FF17634F"/>
      </x:font>
      <x:fill>
        <x:patternFill patternType="solid">
          <x:bgColor rgb="FFE7F4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22662e5f74279" /><Relationship Type="http://schemas.openxmlformats.org/officeDocument/2006/relationships/theme" Target="/xl/theme/theme1.xml" Id="Rd9204dae12334012" /><Relationship Type="http://schemas.openxmlformats.org/officeDocument/2006/relationships/sharedStrings" Target="/xl/sharedStrings.xml" Id="Rb2ab732b4990451f" /><Relationship Type="http://schemas.openxmlformats.org/officeDocument/2006/relationships/worksheet" Target="/xl/worksheets/sheet1.xml" Id="Ra3c27011501041e0" /><Relationship Type="http://schemas.openxmlformats.org/officeDocument/2006/relationships/worksheet" Target="/xl/worksheets/sheet2.xml" Id="R196bb46a84c24343" /><Relationship Type="http://schemas.openxmlformats.org/officeDocument/2006/relationships/worksheet" Target="/xl/worksheets/sheet3.xml" Id="Rd6bb063962e04d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18" hidden="0" customWidth="1"/>
    <x:col min="5" max="5" width="4" hidden="0" customWidth="1"/>
    <x:col min="6" max="6" width="18" hidden="0" customWidth="1"/>
    <x:col min="7" max="7" width="4" hidden="0" customWidth="1"/>
    <x:col min="8" max="8" width="18" hidden="0" customWidth="1"/>
  </x:cols>
  <x:sheetData>
    <x:row r="1">
      <x:c r="A1" s="2" t="str">
        <x:v>Disposition V0 clinical evaluation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Single-clinician development review of 50 supplied synthetic patient messages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Sources: patient_messages_with_dispositions.csv, clinician_development_review.csv, V0 predictions</x:v>
      </x:c>
      <x:c r="B3" s="6"/>
      <x:c r="C3" s="6"/>
      <x:c r="D3" s="6"/>
      <x:c r="E3" s="6"/>
      <x:c r="F3" s="6"/>
      <x:c r="G3" s="6"/>
      <x:c r="H3" s="6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8" t="str">
        <x:v>Cases reviewed</x:v>
      </x:c>
      <x:c r="B5" s="8"/>
      <x:c r="C5" s="8" t="str">
        <x:v>Source conflicts</x:v>
      </x:c>
      <x:c r="D5" s="8"/>
      <x:c r="E5" s="8" t="str">
        <x:v>Possible urgent misses</x:v>
      </x:c>
      <x:c r="F5" s="8"/>
      <x:c r="G5" s="8" t="str">
        <x:v>V0 development replay</x:v>
      </x:c>
      <x:c r="H5" s="8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0" t="n">
        <x:f>COUNTA('Case Review'!$A$6:$A$55)</x:f>
        <x:v>50</x:v>
      </x:c>
      <x:c r="B6" s="10"/>
      <x:c r="C6" s="10" t="n">
        <x:f>COUNTIF('Case Review'!$F$6:$F$55,"&lt;&gt;Agreement")</x:f>
        <x:v>12</x:v>
      </x:c>
      <x:c r="D6" s="10"/>
      <x:c r="E6" s="11" t="n">
        <x:f>COUNTIF('Case Review'!$F$6:$F$55,"Possible under-triage")</x:f>
        <x:v>8</x:v>
      </x:c>
      <x:c r="F6" s="10"/>
      <x:c r="G6" s="10" t="n">
        <x:f>COUNTIF('Case Review'!$H$6:$H$55,"Match")</x:f>
        <x:v>50</x:v>
      </x:c>
      <x:c r="H6" s="10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3" t="str">
        <x:v>of 50 synthetic cases</x:v>
      </x:c>
      <x:c r="B7" s="13"/>
      <x:c r="C7" s="13" t="str">
        <x:v>38 supplied labels agree</x:v>
      </x:c>
      <x:c r="D7" s="13"/>
      <x:c r="E7" s="13" t="str">
        <x:v>safety-review priority</x:v>
      </x:c>
      <x:c r="F7" s="13"/>
      <x:c r="G7" s="13" t="str">
        <x:v>implementation fit only</x:v>
      </x:c>
      <x:c r="H7" s="13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5" t="str">
        <x:v>Decision</x:v>
      </x:c>
      <x:c r="B9" s="15" t="str"/>
      <x:c r="C9" s="15" t="str"/>
      <x:c r="D9" s="15" t="str"/>
      <x:c r="E9" s="15" t="str"/>
      <x:c r="F9" s="15" t="str"/>
      <x:c r="G9" s="15" t="str"/>
      <x:c r="H9" s="15" t="str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8" t="str">
        <x:v>The take-home evaluation is complete with one clinician-engineer. The development labels support current-state analysis and regression testing. They do not support a population clinical-performance or deployment-readiness claim.</x:v>
      </x:c>
      <x:c r="B10" s="18"/>
      <x:c r="C10" s="18"/>
      <x:c r="D10" s="18"/>
      <x:c r="E10" s="18"/>
      <x:c r="F10" s="18"/>
      <x:c r="G10" s="18"/>
      <x:c r="H10" s="18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9" t="str">
        <x:v>Eight possible urgent misses in the supplied workflow</x:v>
      </x:c>
      <x:c r="B13" s="19" t="str"/>
      <x:c r="C13" s="19" t="str"/>
      <x:c r="D13" s="19" t="str"/>
      <x:c r="E13" s="19" t="str"/>
      <x:c r="F13" s="19" t="str"/>
      <x:c r="G13" s="19" t="str"/>
      <x:c r="H13" s="19" t="str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8" customHeight="1">
      <x:c r="A15" s="25" t="str">
        <x:v>Case</x:v>
      </x:c>
      <x:c r="B15" s="25" t="str">
        <x:v>Supplied route</x:v>
      </x:c>
      <x:c r="C15" s="25"/>
      <x:c r="D15" s="25" t="str">
        <x:v>Clinician route</x:v>
      </x:c>
      <x:c r="E15" s="25"/>
      <x:c r="F15" s="25" t="str">
        <x:v>Clinical concern</x:v>
      </x:c>
      <x:c r="G15" s="25"/>
      <x:c r="H15" s="25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58" customHeight="1">
      <x:c r="A16" s="31" t="str">
        <x:v>C08</x:v>
      </x:c>
      <x:c r="B16" s="30" t="str">
        <x:v>ASYNC_PHYSICIAN</x:v>
      </x:c>
      <x:c r="C16" s="30"/>
      <x:c r="D16" s="30" t="str">
        <x:v>URGENT_ESCALATION</x:v>
      </x:c>
      <x:c r="E16" s="30"/>
      <x:c r="F16" s="30" t="str">
        <x:v>Thunderclap headache + meningismus is SAH until proven otherwise. CT/LP window is now. Async is a miss.</x:v>
      </x:c>
      <x:c r="G16" s="30"/>
      <x:c r="H16" s="30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58" customHeight="1">
      <x:c r="A17" s="37" t="str">
        <x:v>C12</x:v>
      </x:c>
      <x:c r="B17" s="36" t="str">
        <x:v>ASYNC_PHYSICIAN</x:v>
      </x:c>
      <x:c r="C17" s="36"/>
      <x:c r="D17" s="36" t="str">
        <x:v>URGENT_ESCALATION</x:v>
      </x:c>
      <x:c r="E17" s="36"/>
      <x:c r="F17" s="36" t="str">
        <x:v>COPD with new green sputum AND dyspnea at 10–15 feet (winded to bathroom) is a moderate-severe exacerbation. Needs in-person assessment, not a message thread.</x:v>
      </x:c>
      <x:c r="G17" s="36"/>
      <x:c r="H17" s="36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58" customHeight="1">
      <x:c r="A18" s="31" t="str">
        <x:v>C16</x:v>
      </x:c>
      <x:c r="B18" s="30" t="str">
        <x:v>ASYNC_PHYSICIAN</x:v>
      </x:c>
      <x:c r="C18" s="30"/>
      <x:c r="D18" s="30" t="str">
        <x:v>URGENT_ESCALATION</x:v>
      </x:c>
      <x:c r="E18" s="30"/>
      <x:c r="F18" s="30" t="str">
        <x:v>6-month-old with fever + oliguria + poor feeding = dehydration / serious bacterial infection risk. Infants this age should not be managed on messages alone.</x:v>
      </x:c>
      <x:c r="G18" s="30"/>
      <x:c r="H18" s="30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58" customHeight="1">
      <x:c r="A19" s="37" t="str">
        <x:v>C17</x:v>
      </x:c>
      <x:c r="B19" s="36" t="str">
        <x:v>ASYNC_PHYSICIAN</x:v>
      </x:c>
      <x:c r="C19" s="36"/>
      <x:c r="D19" s="36" t="str">
        <x:v>URGENT_ESCALATION</x:v>
      </x:c>
      <x:c r="E19" s="36"/>
      <x:c r="F19" s="36" t="str">
        <x:v>Saddle anesthesia + new bladder dysfunction after disc-risk event = cauda equina. Immediate ED/MRI.</x:v>
      </x:c>
      <x:c r="G19" s="36"/>
      <x:c r="H19" s="36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58" customHeight="1">
      <x:c r="A20" s="31" t="str">
        <x:v>C23</x:v>
      </x:c>
      <x:c r="B20" s="30" t="str">
        <x:v>ASYNC_PHYSICIAN</x:v>
      </x:c>
      <x:c r="C20" s="30"/>
      <x:c r="D20" s="30" t="str">
        <x:v>URGENT_ESCALATION</x:v>
      </x:c>
      <x:c r="E20" s="30"/>
      <x:c r="F20" s="30" t="str">
        <x:v>Resolved facial droop + dysarthria is a TIA. ABCD2-style same-day stroke pathway, not 'it resolved so async is fine'.</x:v>
      </x:c>
      <x:c r="G20" s="30"/>
      <x:c r="H20" s="30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58" customHeight="1">
      <x:c r="A21" s="37" t="str">
        <x:v>C25</x:v>
      </x:c>
      <x:c r="B21" s="36" t="str">
        <x:v>ASYNC_PHYSICIAN</x:v>
      </x:c>
      <x:c r="C21" s="36"/>
      <x:c r="D21" s="36" t="str">
        <x:v>URGENT_ESCALATION</x:v>
      </x:c>
      <x:c r="E21" s="36"/>
      <x:c r="F21" s="36" t="str">
        <x:v>Long-haul flight + unilateral warm swollen painful calf = DVT. Needs same-day Doppler, not a thread.</x:v>
      </x:c>
      <x:c r="G21" s="36"/>
      <x:c r="H21" s="36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58" customHeight="1">
      <x:c r="A22" s="31" t="str">
        <x:v>C35</x:v>
      </x:c>
      <x:c r="B22" s="30" t="str">
        <x:v>ASYNC_PHYSICIAN</x:v>
      </x:c>
      <x:c r="C22" s="30"/>
      <x:c r="D22" s="30" t="str">
        <x:v>URGENT_ESCALATION</x:v>
      </x:c>
      <x:c r="E22" s="30"/>
      <x:c r="F22" s="30" t="str">
        <x:v>Melena plus orthostatic lightheadedness = GI bleed with volume loss. ED, not async.</x:v>
      </x:c>
      <x:c r="G22" s="30"/>
      <x:c r="H22" s="30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58" customHeight="1">
      <x:c r="A23" s="37" t="str">
        <x:v>C44</x:v>
      </x:c>
      <x:c r="B23" s="36" t="str">
        <x:v>ASYNC_PHYSICIAN</x:v>
      </x:c>
      <x:c r="C23" s="36"/>
      <x:c r="D23" s="36" t="str">
        <x:v>URGENT_ESCALATION</x:v>
      </x:c>
      <x:c r="E23" s="36"/>
      <x:c r="F23" s="36" t="str">
        <x:v>Progressive bilateral edema + new orthopnea = decompensated heart failure. Same-day in-person, not a message plan alone.</x:v>
      </x:c>
      <x:c r="G23" s="36"/>
      <x:c r="H23" s="36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9" t="str">
        <x:v>Evidence interpretation</x:v>
      </x:c>
      <x:c r="B26" s="19" t="str"/>
      <x:c r="C26" s="19" t="str"/>
      <x:c r="D26" s="19" t="str"/>
      <x:c r="E26" s="19" t="str"/>
      <x:c r="F26" s="19" t="str"/>
      <x:c r="G26" s="19" t="str"/>
      <x:c r="H26" s="19" t="str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8" customHeight="1">
      <x:c r="A28" s="25" t="str">
        <x:v>Evidence</x:v>
      </x:c>
      <x:c r="B28" s="25"/>
      <x:c r="C28" s="25" t="str">
        <x:v>Result</x:v>
      </x:c>
      <x:c r="D28" s="25"/>
      <x:c r="E28" s="25" t="str">
        <x:v>Permitted interpretation</x:v>
      </x:c>
      <x:c r="F28" s="25"/>
      <x:c r="G28" s="25" t="str">
        <x:v>Prohibited interpretation</x:v>
      </x:c>
      <x:c r="H28" s="25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42" customHeight="1">
      <x:c r="A29" s="30" t="str">
        <x:v>Clinician development review</x:v>
      </x:c>
      <x:c r="B29" s="30"/>
      <x:c r="C29" s="30" t="str">
        <x:v>50/50</x:v>
      </x:c>
      <x:c r="D29" s="30"/>
      <x:c r="E29" s="30" t="str">
        <x:v>Complete answer key for this take-home</x:v>
      </x:c>
      <x:c r="F29" s="30"/>
      <x:c r="G29" s="30" t="str">
        <x:v>Consensus clinical truth</x:v>
      </x:c>
      <x:c r="H29" s="30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42" customHeight="1">
      <x:c r="A30" s="36" t="str">
        <x:v>Supplied-label audit</x:v>
      </x:c>
      <x:c r="B30" s="36"/>
      <x:c r="C30" s="36" t="str">
        <x:v>38/50 agree</x:v>
      </x:c>
      <x:c r="D30" s="36"/>
      <x:c r="E30" s="36" t="str">
        <x:v>Twelve concrete cases to investigate</x:v>
      </x:c>
      <x:c r="F30" s="36"/>
      <x:c r="G30" s="36" t="str">
        <x:v>Population accuracy</x:v>
      </x:c>
      <x:c r="H30" s="36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42" customHeight="1">
      <x:c r="A31" s="30" t="str">
        <x:v>V0 replay</x:v>
      </x:c>
      <x:c r="B31" s="30"/>
      <x:c r="C31" s="30" t="str">
        <x:v>50/50</x:v>
      </x:c>
      <x:c r="D31" s="30"/>
      <x:c r="E31" s="30" t="str">
        <x:v>The code implements its development target</x:v>
      </x:c>
      <x:c r="F31" s="30"/>
      <x:c r="G31" s="30" t="str">
        <x:v>Clinical performance</x:v>
      </x:c>
      <x:c r="H31" s="30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42" customHeight="1">
      <x:c r="A32" s="36" t="str">
        <x:v>External holdout</x:v>
      </x:c>
      <x:c r="B32" s="36"/>
      <x:c r="C32" s="36" t="str">
        <x:v>Not run</x:v>
      </x:c>
      <x:c r="D32" s="36"/>
      <x:c r="E32" s="36" t="str">
        <x:v>Performance estimate remains blank</x:v>
      </x:c>
      <x:c r="F32" s="36"/>
      <x:c r="G32" s="36" t="str">
        <x:v>Safe for patient use</x:v>
      </x:c>
      <x:c r="H32" s="36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mergeCells>
    <x:mergeCell ref="A5:B5"/>
    <x:mergeCell ref="A6:B6"/>
    <x:mergeCell ref="A7:B7"/>
    <x:mergeCell ref="C5:D5"/>
    <x:mergeCell ref="C6:D6"/>
    <x:mergeCell ref="C7:D7"/>
    <x:mergeCell ref="E5:F5"/>
    <x:mergeCell ref="E6:F6"/>
    <x:mergeCell ref="E7:F7"/>
    <x:mergeCell ref="G5:H5"/>
    <x:mergeCell ref="G6:H6"/>
    <x:mergeCell ref="G7:H7"/>
    <x:mergeCell ref="A10:H11"/>
    <x:mergeCell ref="B15:C15"/>
    <x:mergeCell ref="D15:E15"/>
    <x:mergeCell ref="F15:H15"/>
    <x:mergeCell ref="B16:C16"/>
    <x:mergeCell ref="D16:E16"/>
    <x:mergeCell ref="F16:H16"/>
    <x:mergeCell ref="B17:C17"/>
    <x:mergeCell ref="D17:E17"/>
    <x:mergeCell ref="F17:H17"/>
    <x:mergeCell ref="B18:C18"/>
    <x:mergeCell ref="D18:E18"/>
    <x:mergeCell ref="F18:H18"/>
    <x:mergeCell ref="B19:C19"/>
    <x:mergeCell ref="D19:E19"/>
    <x:mergeCell ref="F19:H19"/>
    <x:mergeCell ref="B20:C20"/>
    <x:mergeCell ref="D20:E20"/>
    <x:mergeCell ref="F20:H20"/>
    <x:mergeCell ref="B21:C21"/>
    <x:mergeCell ref="D21:E21"/>
    <x:mergeCell ref="F21:H21"/>
    <x:mergeCell ref="B22:C22"/>
    <x:mergeCell ref="D22:E22"/>
    <x:mergeCell ref="F22:H22"/>
    <x:mergeCell ref="B23:C23"/>
    <x:mergeCell ref="D23:E23"/>
    <x:mergeCell ref="F23:H23"/>
    <x:mergeCell ref="A28:B28"/>
    <x:mergeCell ref="C28:D28"/>
    <x:mergeCell ref="E28:F28"/>
    <x:mergeCell ref="G28:H28"/>
    <x:mergeCell ref="A29:B29"/>
    <x:mergeCell ref="C29:D29"/>
    <x:mergeCell ref="E29:F29"/>
    <x:mergeCell ref="G29:H29"/>
    <x:mergeCell ref="A30:B30"/>
    <x:mergeCell ref="C30:D30"/>
    <x:mergeCell ref="E30:F30"/>
    <x:mergeCell ref="G30:H30"/>
    <x:mergeCell ref="A31:B31"/>
    <x:mergeCell ref="C31:D31"/>
    <x:mergeCell ref="E31:F31"/>
    <x:mergeCell ref="G31:H31"/>
    <x:mergeCell ref="A32:B32"/>
    <x:mergeCell ref="C32:D32"/>
    <x:mergeCell ref="E32:F32"/>
    <x:mergeCell ref="G32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52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13" hidden="0" customWidth="1"/>
    <x:col min="8" max="8" width="13" hidden="0" customWidth="1"/>
    <x:col min="9" max="9" width="65" hidden="0" customWidth="1"/>
    <x:col min="10" max="10" width="28" hidden="0" customWidth="1"/>
  </x:cols>
  <x:sheetData>
    <x:row r="1">
      <x:c r="A1" s="2" t="str">
        <x:v>Case review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Supplied route, clinician development answer, V0 output, and case-level harm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Synthetic development data only. Findings are hypotheses for investigation, not population error rates.</x:v>
      </x:c>
      <x:c r="B3" s="6"/>
      <x:c r="C3" s="6"/>
      <x:c r="D3" s="6"/>
      <x:c r="E3" s="6"/>
      <x:c r="F3" s="6"/>
      <x:c r="G3" s="6"/>
      <x:c r="H3" s="6"/>
      <x:c r="I3" s="6"/>
      <x:c r="J3" s="6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8" customHeight="1">
      <x:c r="A5" s="25" t="str">
        <x:v>Case</x:v>
      </x:c>
      <x:c r="B5" s="25" t="str">
        <x:v>Synthetic patient message</x:v>
      </x:c>
      <x:c r="C5" s="25" t="str">
        <x:v>Supplied route</x:v>
      </x:c>
      <x:c r="D5" s="25" t="str">
        <x:v>Clinician route</x:v>
      </x:c>
      <x:c r="E5" s="25" t="str">
        <x:v>V0 route</x:v>
      </x:c>
      <x:c r="F5" s="25" t="str">
        <x:v>Finding</x:v>
      </x:c>
      <x:c r="G5" s="25" t="str">
        <x:v>Confidence</x:v>
      </x:c>
      <x:c r="H5" s="25" t="str">
        <x:v>V0 match</x:v>
      </x:c>
      <x:c r="I5" s="25" t="str">
        <x:v>Clinical rationale and potential harm</x:v>
      </x:c>
      <x:c r="J5" s="25" t="str">
        <x:v>V0 layer and emergency signal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82" customHeight="1">
      <x:c r="A6" s="42" t="str">
        <x:v>C01</x:v>
      </x:c>
      <x:c r="B6" s="41" t="str">
        <x:v>Hi, I've had a runny nose and a mild sore throat for about 2 days. No fever, I'm still eating and drinking fine. Should I be worried?</x:v>
      </x:c>
      <x:c r="C6" s="42" t="str">
        <x:v>SELF_CARE</x:v>
      </x:c>
      <x:c r="D6" s="42" t="str">
        <x:v>SELF_CARE</x:v>
      </x:c>
      <x:c r="E6" s="42" t="str">
        <x:v>SELF_CARE</x:v>
      </x:c>
      <x:c r="F6" s="42" t="str">
        <x:v>Agreement</x:v>
      </x:c>
      <x:c r="G6" s="42" t="str">
        <x:v>high</x:v>
      </x:c>
      <x:c r="H6" s="42" t="str">
        <x:f>IF(D6=E6,"Match","Different")</x:f>
        <x:v>Match</x:v>
      </x:c>
      <x:c r="I6" s="41" t="str">
        <x:v>Viral URI phenotype: short duration, no fever, oral intake intact. No clinician action required beyond reassurance and return precautions.</x:v>
      </x:c>
      <x:c r="J6" s="41" t="str">
        <x:v>self_care_router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82" customHeight="1">
      <x:c r="A7" s="42" t="str">
        <x:v>C02</x:v>
      </x:c>
      <x:c r="B7" s="41" t="str">
        <x:v>45M. I've had crushing pressure in the center of my chest for the last 30 minutes, it's going into my left arm and I feel sweaty and a bit sick to my stomach. I have high cholesterol.</x:v>
      </x:c>
      <x:c r="C7" s="42" t="str">
        <x:v>URGENT_ESCALATION</x:v>
      </x:c>
      <x:c r="D7" s="42" t="str">
        <x:v>URGENT_ESCALATION</x:v>
      </x:c>
      <x:c r="E7" s="42" t="str">
        <x:v>URGENT_ESCALATION</x:v>
      </x:c>
      <x:c r="F7" s="42" t="str">
        <x:v>Agreement</x:v>
      </x:c>
      <x:c r="G7" s="42" t="str">
        <x:v>high</x:v>
      </x:c>
      <x:c r="H7" s="42" t="str">
        <x:f>IF(D7=E7,"Match","Different")</x:f>
        <x:v>Match</x:v>
      </x:c>
      <x:c r="I7" s="41" t="str">
        <x:v>Classic ACS: crushing central pressure &lt;1h, arm radiation, diaphoresis, nausea, vascular risk. Minutes matter.</x:v>
      </x:c>
      <x:c r="J7" s="41" t="str">
        <x:v>hard_escalation_gate | acs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82" customHeight="1">
      <x:c r="A8" s="42" t="str">
        <x:v>C03</x:v>
      </x:c>
      <x:c r="B8" s="41" t="str">
        <x:v>28F. It burns when I pee and I'm going a lot more often, started 2 days ago. No fever, no back pain. I'm not pregnant. I've had UTIs before.</x:v>
      </x:c>
      <x:c r="C8" s="42" t="str">
        <x:v>ASYNC_PHYSICIAN</x:v>
      </x:c>
      <x:c r="D8" s="42" t="str">
        <x:v>ASYNC_PHYSICIAN</x:v>
      </x:c>
      <x:c r="E8" s="42" t="str">
        <x:v>ASYNC_PHYSICIAN</x:v>
      </x:c>
      <x:c r="F8" s="42" t="str">
        <x:v>Agreement</x:v>
      </x:c>
      <x:c r="G8" s="42" t="str">
        <x:v>high</x:v>
      </x:c>
      <x:c r="H8" s="42" t="str">
        <x:f>IF(D8=E8,"Match","Different")</x:f>
        <x:v>Match</x:v>
      </x:c>
      <x:c r="I8" s="41" t="str">
        <x:v>Uncomplicated cystitis in non-pregnant woman with prior UTIs. Guideline-eligible for empiric async treatment after short history.</x:v>
      </x:c>
      <x:c r="J8" s="41" t="str">
        <x:v>policy_default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82" customHeight="1">
      <x:c r="A9" s="42" t="str">
        <x:v>C04</x:v>
      </x:c>
      <x:c r="B9" s="41" t="str">
        <x:v>62F, I'm diabetic. I got a small cut on the bottom of my foot about 4 days ago and now the skin around it is red and a little swollen. No fever. It's tender when I press on it.</x:v>
      </x:c>
      <x:c r="C9" s="42" t="str">
        <x:v>ASYNC_PHYSICIAN</x:v>
      </x:c>
      <x:c r="D9" s="42" t="str">
        <x:v>ASYNC_PHYSICIAN</x:v>
      </x:c>
      <x:c r="E9" s="42" t="str">
        <x:v>ASYNC_PHYSICIAN</x:v>
      </x:c>
      <x:c r="F9" s="42" t="str">
        <x:v>Agreement</x:v>
      </x:c>
      <x:c r="G9" s="42" t="str">
        <x:v>medium</x:v>
      </x:c>
      <x:c r="H9" s="42" t="str">
        <x:f>IF(D9=E9,"Match","Different")</x:f>
        <x:v>Match</x:v>
      </x:c>
      <x:c r="I9" s="41" t="str">
        <x:v>Early diabetic foot cellulitis without fever. Needs photo + same-day physician plan and close watch; not 911 if they can be seen on platform today. Escalate if systemic signs appear.</x:v>
      </x:c>
      <x:c r="J9" s="41" t="str">
        <x:v>policy_default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82" customHeight="1">
      <x:c r="A10" s="42" t="str">
        <x:v>C05</x:v>
      </x:c>
      <x:c r="B10" s="41" t="str">
        <x:v>I've been feeling really hopeless for a few weeks now. Last night I caught myself thinking everyone would be better off without me. I don't know what to do.</x:v>
      </x:c>
      <x:c r="C10" s="42" t="str">
        <x:v>URGENT_ESCALATION</x:v>
      </x:c>
      <x:c r="D10" s="42" t="str">
        <x:v>URGENT_ESCALATION</x:v>
      </x:c>
      <x:c r="E10" s="42" t="str">
        <x:v>URGENT_ESCALATION</x:v>
      </x:c>
      <x:c r="F10" s="42" t="str">
        <x:v>Agreement</x:v>
      </x:c>
      <x:c r="G10" s="42" t="str">
        <x:v>high</x:v>
      </x:c>
      <x:c r="H10" s="42" t="str">
        <x:f>IF(D10=E10,"Match","Different")</x:f>
        <x:v>Match</x:v>
      </x:c>
      <x:c r="I10" s="41" t="str">
        <x:v>Passive suicidal ideation with hopelessness. Safety screen + crisis pathway, not an async medical thread.</x:v>
      </x:c>
      <x:c r="J10" s="41" t="str">
        <x:v>hard_escalation_gate | postpartum_or_si_crisis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82" customHeight="1">
      <x:c r="A11" s="42" t="str">
        <x:v>C06</x:v>
      </x:c>
      <x:c r="B11" s="41" t="str">
        <x:v>Could I get a refill on my losartan? I've been on 50mg once a day for about 2 years, my blood pressure is well controlled, last home reading was 122/78.</x:v>
      </x:c>
      <x:c r="C11" s="42" t="str">
        <x:v>URGENT_ESCALATION</x:v>
      </x:c>
      <x:c r="D11" s="42" t="str">
        <x:v>ASYNC_PHYSICIAN</x:v>
      </x:c>
      <x:c r="E11" s="42" t="str">
        <x:v>ASYNC_PHYSICIAN</x:v>
      </x:c>
      <x:c r="F11" s="42" t="str">
        <x:v>Possible over-triage</x:v>
      </x:c>
      <x:c r="G11" s="42" t="str">
        <x:v>high</x:v>
      </x:c>
      <x:c r="H11" s="42" t="str">
        <x:f>IF(D11=E11,"Match","Different")</x:f>
        <x:v>Match</x:v>
      </x:c>
      <x:c r="I11" s="41" t="str">
        <x:v>Stable chronic antihypertensive refill with documented control. Requires a prescriber, not an ED. Provided label over-escalates.
Potential harm if supplied route followed: Unnecessary ED/same-day load; trains the system that refills are emergencies</x:v>
      </x:c>
      <x:c r="J11" s="41" t="str">
        <x:v>intent_router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82" customHeight="1">
      <x:c r="A12" s="42" t="str">
        <x:v>C07</x:v>
      </x:c>
      <x:c r="B12" s="41" t="str">
        <x:v>My 3-year-old has had a fever up to 102F for 2 days. He's still drinking okay and pretty playful in between the fevers. No rash that I can see.</x:v>
      </x:c>
      <x:c r="C12" s="42" t="str">
        <x:v>ASYNC_PHYSICIAN</x:v>
      </x:c>
      <x:c r="D12" s="42" t="str">
        <x:v>ASYNC_PHYSICIAN</x:v>
      </x:c>
      <x:c r="E12" s="42" t="str">
        <x:v>ASYNC_PHYSICIAN</x:v>
      </x:c>
      <x:c r="F12" s="42" t="str">
        <x:v>Agreement</x:v>
      </x:c>
      <x:c r="G12" s="42" t="str">
        <x:v>high</x:v>
      </x:c>
      <x:c r="H12" s="42" t="str">
        <x:f>IF(D12=E12,"Match","Different")</x:f>
        <x:v>Match</x:v>
      </x:c>
      <x:c r="I12" s="41" t="str">
        <x:v>Well-appearing toddler with isolated fever, drinking and playful, no rash. Age &gt;3 months. Async peds advice + precautions is appropriate.</x:v>
      </x:c>
      <x:c r="J12" s="41" t="str">
        <x:v>policy_default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82" customHeight="1">
      <x:c r="A13" s="42" t="str">
        <x:v>C08</x:v>
      </x:c>
      <x:c r="B13" s="41" t="str">
        <x:v>35F. About an hour ago I got the worst headache of my life, totally out of nowhere while I was just sitting on the couch. It hit like a thunderclap. My neck feels a bit stiff now too.</x:v>
      </x:c>
      <x:c r="C13" s="42" t="str">
        <x:v>ASYNC_PHYSICIAN</x:v>
      </x:c>
      <x:c r="D13" s="42" t="str">
        <x:v>URGENT_ESCALATION</x:v>
      </x:c>
      <x:c r="E13" s="42" t="str">
        <x:v>URGENT_ESCALATION</x:v>
      </x:c>
      <x:c r="F13" s="42" t="str">
        <x:v>Possible under-triage</x:v>
      </x:c>
      <x:c r="G13" s="42" t="str">
        <x:v>high</x:v>
      </x:c>
      <x:c r="H13" s="42" t="str">
        <x:f>IF(D13=E13,"Match","Different")</x:f>
        <x:v>Match</x:v>
      </x:c>
      <x:c r="I13" s="41" t="str">
        <x:v>Thunderclap headache + meningismus is SAH until proven otherwise. CT/LP window is now. Async is a miss.
Potential harm if supplied route followed: Missed subarachnoid hemorrhage</x:v>
      </x:c>
      <x:c r="J13" s="41" t="str">
        <x:v>hard_escalation_gate | thunderclap_or_sah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82" customHeight="1">
      <x:c r="A14" s="42" t="str">
        <x:v>C09</x:v>
      </x:c>
      <x:c r="B14" s="41" t="str">
        <x:v>30F, I'm 32 weeks pregnant. I've had a bad headache that won't go away, my vision is a little blurry, and my hands and face look puffy.</x:v>
      </x:c>
      <x:c r="C14" s="42" t="str">
        <x:v>URGENT_ESCALATION</x:v>
      </x:c>
      <x:c r="D14" s="42" t="str">
        <x:v>URGENT_ESCALATION</x:v>
      </x:c>
      <x:c r="E14" s="42" t="str">
        <x:v>URGENT_ESCALATION</x:v>
      </x:c>
      <x:c r="F14" s="42" t="str">
        <x:v>Agreement</x:v>
      </x:c>
      <x:c r="G14" s="42" t="str">
        <x:v>high</x:v>
      </x:c>
      <x:c r="H14" s="42" t="str">
        <x:f>IF(D14=E14,"Match","Different")</x:f>
        <x:v>Match</x:v>
      </x:c>
      <x:c r="I14" s="41" t="str">
        <x:v>Third-trimester headache + visual change + facial/hand edema = preeclampsia workup now.</x:v>
      </x:c>
      <x:c r="J14" s="41" t="str">
        <x:v>hard_escalation_gate | preeclampsia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82" customHeight="1">
      <x:c r="A15" s="42" t="str">
        <x:v>C10</x:v>
      </x:c>
      <x:c r="B15" s="41" t="str">
        <x:v>50M. For a few weeks I've had pain in my upper right belly that comes and goes, usually after a fatty meal. No fever, no yellowing of my skin or eyes.</x:v>
      </x:c>
      <x:c r="C15" s="42" t="str">
        <x:v>ASYNC_PHYSICIAN</x:v>
      </x:c>
      <x:c r="D15" s="42" t="str">
        <x:v>ASYNC_PHYSICIAN</x:v>
      </x:c>
      <x:c r="E15" s="42" t="str">
        <x:v>ASYNC_PHYSICIAN</x:v>
      </x:c>
      <x:c r="F15" s="42" t="str">
        <x:v>Agreement</x:v>
      </x:c>
      <x:c r="G15" s="42" t="str">
        <x:v>high</x:v>
      </x:c>
      <x:c r="H15" s="42" t="str">
        <x:f>IF(D15=E15,"Match","Different")</x:f>
        <x:v>Match</x:v>
      </x:c>
      <x:c r="I15" s="41" t="str">
        <x:v>Biliary colic pattern without fever or jaundice. Elective vs semi-urgent workup is in-scope for async.</x:v>
      </x:c>
      <x:c r="J15" s="41" t="str">
        <x:v>policy_default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82" customHeight="1">
      <x:c r="A16" s="42" t="str">
        <x:v>C11</x:v>
      </x:c>
      <x:c r="B16" s="41" t="str">
        <x:v>I have a small itchy red rash on my forearm since I did some gardening yesterday. It's not spreading and I'm breathing fine.</x:v>
      </x:c>
      <x:c r="C16" s="42" t="str">
        <x:v>URGENT_ESCALATION</x:v>
      </x:c>
      <x:c r="D16" s="42" t="str">
        <x:v>SELF_CARE</x:v>
      </x:c>
      <x:c r="E16" s="42" t="str">
        <x:v>SELF_CARE</x:v>
      </x:c>
      <x:c r="F16" s="42" t="str">
        <x:v>Possible over-triage</x:v>
      </x:c>
      <x:c r="G16" s="42" t="str">
        <x:v>high</x:v>
      </x:c>
      <x:c r="H16" s="42" t="str">
        <x:f>IF(D16=E16,"Match","Different")</x:f>
        <x:v>Match</x:v>
      </x:c>
      <x:c r="I16" s="41" t="str">
        <x:v>Localized post-gardening contact dermatitis, not spreading, airway clear. OTC steroid/antihistamine. Provided label over-escalates.
Potential harm if supplied route followed: Cries wolf on dermatology; burns urgent capacity</x:v>
      </x:c>
      <x:c r="J16" s="41" t="str">
        <x:v>self_care_router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82" customHeight="1">
      <x:c r="A17" s="42" t="str">
        <x:v>C12</x:v>
      </x:c>
      <x:c r="B17" s="41" t="str">
        <x:v>68F with COPD. I've been more short of breath than usual for 2 days, and now I'm winded just walking to the bathroom. My phlegm has turned green.</x:v>
      </x:c>
      <x:c r="C17" s="42" t="str">
        <x:v>ASYNC_PHYSICIAN</x:v>
      </x:c>
      <x:c r="D17" s="42" t="str">
        <x:v>URGENT_ESCALATION</x:v>
      </x:c>
      <x:c r="E17" s="42" t="str">
        <x:v>URGENT_ESCALATION</x:v>
      </x:c>
      <x:c r="F17" s="42" t="str">
        <x:v>Possible under-triage</x:v>
      </x:c>
      <x:c r="G17" s="42" t="str">
        <x:v>high</x:v>
      </x:c>
      <x:c r="H17" s="42" t="str">
        <x:f>IF(D17=E17,"Match","Different")</x:f>
        <x:v>Match</x:v>
      </x:c>
      <x:c r="I17" s="41" t="str">
        <x:v>COPD with new green sputum AND dyspnea at 10–15 feet (winded to bathroom) is a moderate-severe exacerbation. Needs in-person assessment, not a message thread.
Potential harm if supplied route followed: Hypoxic decompensation at home</x:v>
      </x:c>
      <x:c r="J17" s="41" t="str">
        <x:v>hard_escalation_gate | copd_exacerbation_severe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82" customHeight="1">
      <x:c r="A18" s="42" t="str">
        <x:v>C13</x:v>
      </x:c>
      <x:c r="B18" s="41" t="str">
        <x:v>55M. My right hand has been numb and tingly for a few days, worse at night. No weakness anywhere, no face drooping, my speech is normal.</x:v>
      </x:c>
      <x:c r="C18" s="42" t="str">
        <x:v>ASYNC_PHYSICIAN</x:v>
      </x:c>
      <x:c r="D18" s="42" t="str">
        <x:v>ASYNC_PHYSICIAN</x:v>
      </x:c>
      <x:c r="E18" s="42" t="str">
        <x:v>ASYNC_PHYSICIAN</x:v>
      </x:c>
      <x:c r="F18" s="42" t="str">
        <x:v>Agreement</x:v>
      </x:c>
      <x:c r="G18" s="42" t="str">
        <x:v>high</x:v>
      </x:c>
      <x:c r="H18" s="42" t="str">
        <x:f>IF(D18=E18,"Match","Different")</x:f>
        <x:v>Match</x:v>
      </x:c>
      <x:c r="I18" s="41" t="str">
        <x:v>Nocturnal hand paresthesias without weakness or cranial signs = carpal tunnel phenotype. Explicitly not a stroke.</x:v>
      </x:c>
      <x:c r="J18" s="41" t="str">
        <x:v>policy_default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82" customHeight="1">
      <x:c r="A19" s="42" t="str">
        <x:v>C14</x:v>
      </x:c>
      <x:c r="B19" s="41" t="str">
        <x:v>I ate shrimp about 20 minutes ago. Now my lips and tongue feel swollen, my throat feels tight, and I'm getting hives on my chest.</x:v>
      </x:c>
      <x:c r="C19" s="42" t="str">
        <x:v>URGENT_ESCALATION</x:v>
      </x:c>
      <x:c r="D19" s="42" t="str">
        <x:v>URGENT_ESCALATION</x:v>
      </x:c>
      <x:c r="E19" s="42" t="str">
        <x:v>URGENT_ESCALATION</x:v>
      </x:c>
      <x:c r="F19" s="42" t="str">
        <x:v>Agreement</x:v>
      </x:c>
      <x:c r="G19" s="42" t="str">
        <x:v>high</x:v>
      </x:c>
      <x:c r="H19" s="42" t="str">
        <x:f>IF(D19=E19,"Match","Different")</x:f>
        <x:v>Match</x:v>
      </x:c>
      <x:c r="I19" s="41" t="str">
        <x:v>Anaphylaxis after shrimp: oropharyngeal swelling, throat tightness, urticaria. Epinephrine / 911.</x:v>
      </x:c>
      <x:c r="J19" s="41" t="str">
        <x:v>hard_escalation_gate | anaphylaxis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82" customHeight="1">
      <x:c r="A20" s="42" t="str">
        <x:v>C15</x:v>
      </x:c>
      <x:c r="B20" s="41" t="str">
        <x:v>I'd like to get tested for STIs. No symptoms, but I had a new partner recently and want to be safe.</x:v>
      </x:c>
      <x:c r="C20" s="42" t="str">
        <x:v>ASYNC_PHYSICIAN</x:v>
      </x:c>
      <x:c r="D20" s="42" t="str">
        <x:v>ASYNC_PHYSICIAN</x:v>
      </x:c>
      <x:c r="E20" s="42" t="str">
        <x:v>ASYNC_PHYSICIAN</x:v>
      </x:c>
      <x:c r="F20" s="42" t="str">
        <x:v>Agreement</x:v>
      </x:c>
      <x:c r="G20" s="42" t="str">
        <x:v>high</x:v>
      </x:c>
      <x:c r="H20" s="42" t="str">
        <x:f>IF(D20=E20,"Match","Different")</x:f>
        <x:v>Match</x:v>
      </x:c>
      <x:c r="I20" s="41" t="str">
        <x:v>Asymptomatic STI screening after new partner. Protocolizable async order set.</x:v>
      </x:c>
      <x:c r="J20" s="41" t="str">
        <x:v>intent_router</x:v>
      </x:c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82" customHeight="1">
      <x:c r="A21" s="42" t="str">
        <x:v>C16</x:v>
      </x:c>
      <x:c r="B21" s="41" t="str">
        <x:v>My 6-month-old has a fever of 100.9, she's fussy, she's had fewer wet diapers today than normal, and she doesn't seem interested in feeding.</x:v>
      </x:c>
      <x:c r="C21" s="42" t="str">
        <x:v>ASYNC_PHYSICIAN</x:v>
      </x:c>
      <x:c r="D21" s="42" t="str">
        <x:v>URGENT_ESCALATION</x:v>
      </x:c>
      <x:c r="E21" s="42" t="str">
        <x:v>URGENT_ESCALATION</x:v>
      </x:c>
      <x:c r="F21" s="42" t="str">
        <x:v>Possible under-triage</x:v>
      </x:c>
      <x:c r="G21" s="42" t="str">
        <x:v>high</x:v>
      </x:c>
      <x:c r="H21" s="42" t="str">
        <x:f>IF(D21=E21,"Match","Different")</x:f>
        <x:v>Match</x:v>
      </x:c>
      <x:c r="I21" s="41" t="str">
        <x:v>6-month-old with fever + oliguria + poor feeding = dehydration / serious bacterial infection risk. Infants this age should not be managed on messages alone.
Potential harm if supplied route followed: Missed infant sepsis or dehydration</x:v>
      </x:c>
      <x:c r="J21" s="41" t="str">
        <x:v>hard_escalation_gate | infant_toxic_or_dehydrated</x:v>
      </x:c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82" customHeight="1">
      <x:c r="A22" s="42" t="str">
        <x:v>C17</x:v>
      </x:c>
      <x:c r="B22" s="41" t="str">
        <x:v>40M. I hurt my low back lifting something a week ago. Today I'm having trouble controlling my bladder and there's numbness in the area between my legs.</x:v>
      </x:c>
      <x:c r="C22" s="42" t="str">
        <x:v>ASYNC_PHYSICIAN</x:v>
      </x:c>
      <x:c r="D22" s="42" t="str">
        <x:v>URGENT_ESCALATION</x:v>
      </x:c>
      <x:c r="E22" s="42" t="str">
        <x:v>URGENT_ESCALATION</x:v>
      </x:c>
      <x:c r="F22" s="42" t="str">
        <x:v>Possible under-triage</x:v>
      </x:c>
      <x:c r="G22" s="42" t="str">
        <x:v>high</x:v>
      </x:c>
      <x:c r="H22" s="42" t="str">
        <x:f>IF(D22=E22,"Match","Different")</x:f>
        <x:v>Match</x:v>
      </x:c>
      <x:c r="I22" s="41" t="str">
        <x:v>Saddle anesthesia + new bladder dysfunction after disc-risk event = cauda equina. Immediate ED/MRI.
Potential harm if supplied route followed: Permanent incontinence / paralysis</x:v>
      </x:c>
      <x:c r="J22" s="41" t="str">
        <x:v>hard_escalation_gate | cauda_equina</x:v>
      </x:c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82" customHeight="1">
      <x:c r="A23" s="42" t="str">
        <x:v>C18</x:v>
      </x:c>
      <x:c r="B23" s="41" t="str">
        <x:v>Can I refill my albuterol inhaler? I use it maybe once a week, no bad attacks recently.</x:v>
      </x:c>
      <x:c r="C23" s="42" t="str">
        <x:v>ASYNC_PHYSICIAN</x:v>
      </x:c>
      <x:c r="D23" s="42" t="str">
        <x:v>ASYNC_PHYSICIAN</x:v>
      </x:c>
      <x:c r="E23" s="42" t="str">
        <x:v>ASYNC_PHYSICIAN</x:v>
      </x:c>
      <x:c r="F23" s="42" t="str">
        <x:v>Agreement</x:v>
      </x:c>
      <x:c r="G23" s="42" t="str">
        <x:v>high</x:v>
      </x:c>
      <x:c r="H23" s="42" t="str">
        <x:f>IF(D23=E23,"Match","Different")</x:f>
        <x:v>Match</x:v>
      </x:c>
      <x:c r="I23" s="41" t="str">
        <x:v>Stable SABA refill, infrequent use, no current attack. Prescriber task, not emergency.</x:v>
      </x:c>
      <x:c r="J23" s="41" t="str">
        <x:v>intent_router</x:v>
      </x:c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82" customHeight="1">
      <x:c r="A24" s="42" t="str">
        <x:v>C19</x:v>
      </x:c>
      <x:c r="B24" s="41" t="str">
        <x:v>I've been dizzy on and off for a few days. The room spins when I roll over or turn my head in bed, but it settles. No chest pain, no weakness, no headache.</x:v>
      </x:c>
      <x:c r="C24" s="42" t="str">
        <x:v>SELF_CARE</x:v>
      </x:c>
      <x:c r="D24" s="42" t="str">
        <x:v>SELF_CARE</x:v>
      </x:c>
      <x:c r="E24" s="42" t="str">
        <x:v>SELF_CARE</x:v>
      </x:c>
      <x:c r="F24" s="42" t="str">
        <x:v>Agreement</x:v>
      </x:c>
      <x:c r="G24" s="42" t="str">
        <x:v>high</x:v>
      </x:c>
      <x:c r="H24" s="42" t="str">
        <x:f>IF(D24=E24,"Match","Different")</x:f>
        <x:v>Match</x:v>
      </x:c>
      <x:c r="I24" s="41" t="str">
        <x:v>Positional spinning that settles, no central features. BPPV self-care (Epley) with fall precautions.</x:v>
      </x:c>
      <x:c r="J24" s="41" t="str">
        <x:v>self_care_router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82" customHeight="1">
      <x:c r="A25" s="42" t="str">
        <x:v>C20</x:v>
      </x:c>
      <x:c r="B25" s="41" t="str">
        <x:v>70M on warfarin. I fell and hit my head yesterday. Today I have a bad headache and I've thrown up twice.</x:v>
      </x:c>
      <x:c r="C25" s="42" t="str">
        <x:v>URGENT_ESCALATION</x:v>
      </x:c>
      <x:c r="D25" s="42" t="str">
        <x:v>URGENT_ESCALATION</x:v>
      </x:c>
      <x:c r="E25" s="42" t="str">
        <x:v>URGENT_ESCALATION</x:v>
      </x:c>
      <x:c r="F25" s="42" t="str">
        <x:v>Agreement</x:v>
      </x:c>
      <x:c r="G25" s="42" t="str">
        <x:v>high</x:v>
      </x:c>
      <x:c r="H25" s="42" t="str">
        <x:f>IF(D25=E25,"Match","Different")</x:f>
        <x:v>Match</x:v>
      </x:c>
      <x:c r="I25" s="41" t="str">
        <x:v>Elderly on warfarin, delayed headache + vomiting after head strike. ICH until cleared by CT.</x:v>
      </x:c>
      <x:c r="J25" s="41" t="str">
        <x:v>hard_escalation_gate | ich_on_anticoag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82" customHeight="1">
      <x:c r="A26" s="42" t="str">
        <x:v>C21</x:v>
      </x:c>
      <x:c r="B26" s="41" t="str">
        <x:v>55F. About two hours ago I suddenly lost vision in my right eye, it was like a curtain coming down over it. No pain at all. It hasn't come back.</x:v>
      </x:c>
      <x:c r="C26" s="42" t="str">
        <x:v>URGENT_ESCALATION</x:v>
      </x:c>
      <x:c r="D26" s="42" t="str">
        <x:v>URGENT_ESCALATION</x:v>
      </x:c>
      <x:c r="E26" s="42" t="str">
        <x:v>URGENT_ESCALATION</x:v>
      </x:c>
      <x:c r="F26" s="42" t="str">
        <x:v>Agreement</x:v>
      </x:c>
      <x:c r="G26" s="42" t="str">
        <x:v>high</x:v>
      </x:c>
      <x:c r="H26" s="42" t="str">
        <x:f>IF(D26=E26,"Match","Different")</x:f>
        <x:v>Match</x:v>
      </x:c>
      <x:c r="I26" s="41" t="str">
        <x:v>Sudden persistent monocular curtain = retinal artery occlusion / TIA equivalent. Time-critical.</x:v>
      </x:c>
      <x:c r="J26" s="41" t="str">
        <x:v>hard_escalation_gate | retinal_or_amaurosis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82" customHeight="1">
      <x:c r="A27" s="42" t="str">
        <x:v>C22</x:v>
      </x:c>
      <x:c r="B27" s="41" t="str">
        <x:v>24M. I rolled my ankle playing basketball last night. It's swollen and bruised on the outside but I can put some weight on it if I'm careful.</x:v>
      </x:c>
      <x:c r="C27" s="42" t="str">
        <x:v>ASYNC_PHYSICIAN</x:v>
      </x:c>
      <x:c r="D27" s="42" t="str">
        <x:v>ASYNC_PHYSICIAN</x:v>
      </x:c>
      <x:c r="E27" s="42" t="str">
        <x:v>ASYNC_PHYSICIAN</x:v>
      </x:c>
      <x:c r="F27" s="42" t="str">
        <x:v>Agreement</x:v>
      </x:c>
      <x:c r="G27" s="42" t="str">
        <x:v>high</x:v>
      </x:c>
      <x:c r="H27" s="42" t="str">
        <x:f>IF(D27=E27,"Match","Different")</x:f>
        <x:v>Match</x:v>
      </x:c>
      <x:c r="I27" s="41" t="str">
        <x:v>Inversion ankle injury, can weight-bear some. Ottawa-negative leaning. Photo + RICE + precautions fits async.</x:v>
      </x:c>
      <x:c r="J27" s="41" t="str">
        <x:v>policy_default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82" customHeight="1">
      <x:c r="A28" s="42" t="str">
        <x:v>C23</x:v>
      </x:c>
      <x:c r="B28" s="41" t="str">
        <x:v>60M. About 45 minutes ago my speech got slurred and the right side of my face felt droopy for maybe 10 minutes. It's back to normal now so I figured it was nothing, but wanted to check.</x:v>
      </x:c>
      <x:c r="C28" s="42" t="str">
        <x:v>ASYNC_PHYSICIAN</x:v>
      </x:c>
      <x:c r="D28" s="42" t="str">
        <x:v>URGENT_ESCALATION</x:v>
      </x:c>
      <x:c r="E28" s="42" t="str">
        <x:v>URGENT_ESCALATION</x:v>
      </x:c>
      <x:c r="F28" s="42" t="str">
        <x:v>Possible under-triage</x:v>
      </x:c>
      <x:c r="G28" s="42" t="str">
        <x:v>high</x:v>
      </x:c>
      <x:c r="H28" s="42" t="str">
        <x:f>IF(D28=E28,"Match","Different")</x:f>
        <x:v>Match</x:v>
      </x:c>
      <x:c r="I28" s="41" t="str">
        <x:v>Resolved facial droop + dysarthria is a TIA. ABCD2-style same-day stroke pathway, not 'it resolved so async is fine'.
Potential harm if supplied route followed: Completed stroke in the next 48h</x:v>
      </x:c>
      <x:c r="J28" s="41" t="str">
        <x:v>hard_escalation_gate | tia_stroke</x:v>
      </x:c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82" customHeight="1">
      <x:c r="A29" s="42" t="str">
        <x:v>C24</x:v>
      </x:c>
      <x:c r="B29" s="41" t="str">
        <x:v>33F. Could I get a refill on my birth control? I've been on the same one for three years with no problems.</x:v>
      </x:c>
      <x:c r="C29" s="42" t="str">
        <x:v>ASYNC_PHYSICIAN</x:v>
      </x:c>
      <x:c r="D29" s="42" t="str">
        <x:v>ASYNC_PHYSICIAN</x:v>
      </x:c>
      <x:c r="E29" s="42" t="str">
        <x:v>ASYNC_PHYSICIAN</x:v>
      </x:c>
      <x:c r="F29" s="42" t="str">
        <x:v>Agreement</x:v>
      </x:c>
      <x:c r="G29" s="42" t="str">
        <x:v>high</x:v>
      </x:c>
      <x:c r="H29" s="42" t="str">
        <x:f>IF(D29=E29,"Match","Different")</x:f>
        <x:v>Match</x:v>
      </x:c>
      <x:c r="I29" s="41" t="str">
        <x:v>Stable COC refill for 3 years. Prescriber task.</x:v>
      </x:c>
      <x:c r="J29" s="41" t="str">
        <x:v>intent_router</x:v>
      </x:c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82" customHeight="1">
      <x:c r="A30" s="42" t="str">
        <x:v>C25</x:v>
      </x:c>
      <x:c r="B30" s="41" t="str">
        <x:v>42F. I flew back from Europe two days ago and now my left calf is painful, swollen, and warm compared to the other one.</x:v>
      </x:c>
      <x:c r="C30" s="42" t="str">
        <x:v>ASYNC_PHYSICIAN</x:v>
      </x:c>
      <x:c r="D30" s="42" t="str">
        <x:v>URGENT_ESCALATION</x:v>
      </x:c>
      <x:c r="E30" s="42" t="str">
        <x:v>URGENT_ESCALATION</x:v>
      </x:c>
      <x:c r="F30" s="42" t="str">
        <x:v>Possible under-triage</x:v>
      </x:c>
      <x:c r="G30" s="42" t="str">
        <x:v>high</x:v>
      </x:c>
      <x:c r="H30" s="42" t="str">
        <x:f>IF(D30=E30,"Match","Different")</x:f>
        <x:v>Match</x:v>
      </x:c>
      <x:c r="I30" s="41" t="str">
        <x:v>Long-haul flight + unilateral warm swollen painful calf = DVT. Needs same-day Doppler, not a thread.
Potential harm if supplied route followed: PE while waiting for a message</x:v>
      </x:c>
      <x:c r="J30" s="41" t="str">
        <x:v>hard_escalation_gate | dvt</x:v>
      </x:c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82" customHeight="1">
      <x:c r="A31" s="42" t="str">
        <x:v>C26</x:v>
      </x:c>
      <x:c r="B31" s="41" t="str">
        <x:v>19M. Scratchy throat since yesterday, no fever, no trouble swallowing. Just annoying. Anything I can take?</x:v>
      </x:c>
      <x:c r="C31" s="42" t="str">
        <x:v>SELF_CARE</x:v>
      </x:c>
      <x:c r="D31" s="42" t="str">
        <x:v>SELF_CARE</x:v>
      </x:c>
      <x:c r="E31" s="42" t="str">
        <x:v>SELF_CARE</x:v>
      </x:c>
      <x:c r="F31" s="42" t="str">
        <x:v>Agreement</x:v>
      </x:c>
      <x:c r="G31" s="42" t="str">
        <x:v>high</x:v>
      </x:c>
      <x:c r="H31" s="42" t="str">
        <x:f>IF(D31=E31,"Match","Different")</x:f>
        <x:v>Match</x:v>
      </x:c>
      <x:c r="I31" s="41" t="str">
        <x:v>Isolated scratchy throat, no fever, no odynophagia. Supportive care.</x:v>
      </x:c>
      <x:c r="J31" s="41" t="str">
        <x:v>self_care_router</x:v>
      </x:c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82" customHeight="1">
      <x:c r="A32" s="42" t="str">
        <x:v>C27</x:v>
      </x:c>
      <x:c r="B32" s="41" t="str">
        <x:v>70F. Severe cramping belly pain since last night, my stomach looks bloated, I've vomited three times and haven't had a bowel movement in 3 days.</x:v>
      </x:c>
      <x:c r="C32" s="42" t="str">
        <x:v>URGENT_ESCALATION</x:v>
      </x:c>
      <x:c r="D32" s="42" t="str">
        <x:v>URGENT_ESCALATION</x:v>
      </x:c>
      <x:c r="E32" s="42" t="str">
        <x:v>URGENT_ESCALATION</x:v>
      </x:c>
      <x:c r="F32" s="42" t="str">
        <x:v>Agreement</x:v>
      </x:c>
      <x:c r="G32" s="42" t="str">
        <x:v>high</x:v>
      </x:c>
      <x:c r="H32" s="42" t="str">
        <x:f>IF(D32=E32,"Match","Different")</x:f>
        <x:v>Match</x:v>
      </x:c>
      <x:c r="I32" s="41" t="str">
        <x:v>Elderly, severe colic, distension, vomiting, obstipation = bowel obstruction / acute abdomen.</x:v>
      </x:c>
      <x:c r="J32" s="41" t="str">
        <x:v>hard_escalation_gate | sbo_acute_abdomen</x:v>
      </x:c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82" customHeight="1">
      <x:c r="A33" s="42" t="str">
        <x:v>C28</x:v>
      </x:c>
      <x:c r="B33" s="41" t="str">
        <x:v>29F, about 8 weeks pregnant. I started bleeding this morning, more than spotting, with cramping in my lower belly.</x:v>
      </x:c>
      <x:c r="C33" s="42" t="str">
        <x:v>URGENT_ESCALATION</x:v>
      </x:c>
      <x:c r="D33" s="42" t="str">
        <x:v>URGENT_ESCALATION</x:v>
      </x:c>
      <x:c r="E33" s="42" t="str">
        <x:v>URGENT_ESCALATION</x:v>
      </x:c>
      <x:c r="F33" s="42" t="str">
        <x:v>Agreement</x:v>
      </x:c>
      <x:c r="G33" s="42" t="str">
        <x:v>high</x:v>
      </x:c>
      <x:c r="H33" s="42" t="str">
        <x:f>IF(D33=E33,"Match","Different")</x:f>
        <x:v>Match</x:v>
      </x:c>
      <x:c r="I33" s="41" t="str">
        <x:v>Early pregnancy, bleeding heavier than spotting + cramping. Ectopic and miscarriage cannot be excluded on messages.</x:v>
      </x:c>
      <x:c r="J33" s="41" t="str">
        <x:v>hard_escalation_gate | pregnancy_bleeding</x:v>
      </x:c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82" customHeight="1">
      <x:c r="A34" s="42" t="str">
        <x:v>C29</x:v>
      </x:c>
      <x:c r="B34" s="41" t="str">
        <x:v>45F. I had my cholesterol checked last week at a lab. Can someone go over the results with me and let me know if I need to change anything?</x:v>
      </x:c>
      <x:c r="C34" s="42" t="str">
        <x:v>ASYNC_PHYSICIAN</x:v>
      </x:c>
      <x:c r="D34" s="42" t="str">
        <x:v>ASYNC_PHYSICIAN</x:v>
      </x:c>
      <x:c r="E34" s="42" t="str">
        <x:v>ASYNC_PHYSICIAN</x:v>
      </x:c>
      <x:c r="F34" s="42" t="str">
        <x:v>Agreement</x:v>
      </x:c>
      <x:c r="G34" s="42" t="str">
        <x:v>high</x:v>
      </x:c>
      <x:c r="H34" s="42" t="str">
        <x:f>IF(D34=E34,"Match","Different")</x:f>
        <x:v>Match</x:v>
      </x:c>
      <x:c r="I34" s="41" t="str">
        <x:v>Lipid panel interpretation. Classic async physician work.</x:v>
      </x:c>
      <x:c r="J34" s="41" t="str">
        <x:v>intent_router</x:v>
      </x:c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82" customHeight="1">
      <x:c r="A35" s="42" t="str">
        <x:v>C30</x:v>
      </x:c>
      <x:c r="B35" s="41" t="str">
        <x:v>36M. I got into poison ivy while clearing brush on Saturday. Itchy blistery rash on both forearms, spreading a bit within that area. No fever, no trouble breathing.</x:v>
      </x:c>
      <x:c r="C35" s="42" t="str">
        <x:v>URGENT_ESCALATION</x:v>
      </x:c>
      <x:c r="D35" s="42" t="str">
        <x:v>ASYNC_PHYSICIAN</x:v>
      </x:c>
      <x:c r="E35" s="42" t="str">
        <x:v>ASYNC_PHYSICIAN</x:v>
      </x:c>
      <x:c r="F35" s="42" t="str">
        <x:v>Possible over-triage</x:v>
      </x:c>
      <x:c r="G35" s="42" t="str">
        <x:v>medium</x:v>
      </x:c>
      <x:c r="H35" s="42" t="str">
        <x:f>IF(D35=E35,"Match","Different")</x:f>
        <x:v>Match</x:v>
      </x:c>
      <x:c r="I35" s="41" t="str">
        <x:v>Bilateral-arm rhus dermatitis, spreading locally, no airway involvement. Often needs prescription-strength steroid; not an emergency.
Potential harm if supplied route followed: Over-escalation of a clinic-treatable rash</x:v>
      </x:c>
      <x:c r="J35" s="41" t="str">
        <x:v>policy_default</x:v>
      </x:c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82" customHeight="1">
      <x:c r="A36" s="42" t="str">
        <x:v>C31</x:v>
      </x:c>
      <x:c r="B36" s="41" t="str">
        <x:v>50F. Bad headache since yesterday with a fever of 101.5, my neck is stiff and it hurts to look at bright light.</x:v>
      </x:c>
      <x:c r="C36" s="42" t="str">
        <x:v>URGENT_ESCALATION</x:v>
      </x:c>
      <x:c r="D36" s="42" t="str">
        <x:v>URGENT_ESCALATION</x:v>
      </x:c>
      <x:c r="E36" s="42" t="str">
        <x:v>URGENT_ESCALATION</x:v>
      </x:c>
      <x:c r="F36" s="42" t="str">
        <x:v>Agreement</x:v>
      </x:c>
      <x:c r="G36" s="42" t="str">
        <x:v>high</x:v>
      </x:c>
      <x:c r="H36" s="42" t="str">
        <x:f>IF(D36=E36,"Match","Different")</x:f>
        <x:v>Match</x:v>
      </x:c>
      <x:c r="I36" s="41" t="str">
        <x:v>Fever + headache + nuchal rigidity + photophobia = meningitis. ED now.</x:v>
      </x:c>
      <x:c r="J36" s="41" t="str">
        <x:v>hard_escalation_gate | meningitis</x:v>
      </x:c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82" customHeight="1">
      <x:c r="A37" s="42" t="str">
        <x:v>C32</x:v>
      </x:c>
      <x:c r="B37" s="41" t="str">
        <x:v>My 8-year-old says her right ear has hurt since last night. No fever, she ate breakfast fine and went to school.</x:v>
      </x:c>
      <x:c r="C37" s="42" t="str">
        <x:v>ASYNC_PHYSICIAN</x:v>
      </x:c>
      <x:c r="D37" s="42" t="str">
        <x:v>ASYNC_PHYSICIAN</x:v>
      </x:c>
      <x:c r="E37" s="42" t="str">
        <x:v>ASYNC_PHYSICIAN</x:v>
      </x:c>
      <x:c r="F37" s="42" t="str">
        <x:v>Agreement</x:v>
      </x:c>
      <x:c r="G37" s="42" t="str">
        <x:v>high</x:v>
      </x:c>
      <x:c r="H37" s="42" t="str">
        <x:f>IF(D37=E37,"Match","Different")</x:f>
        <x:v>Match</x:v>
      </x:c>
      <x:c r="I37" s="41" t="str">
        <x:v>School-age child with isolated otalgia, afebrile, eating, at school. Async otitis pathway.</x:v>
      </x:c>
      <x:c r="J37" s="41" t="str">
        <x:v>policy_default</x:v>
      </x:c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82" customHeight="1">
      <x:c r="A38" s="42" t="str">
        <x:v>C33</x:v>
      </x:c>
      <x:c r="B38" s="41" t="str">
        <x:v>65M, type 2 diabetes. My sugar has been over 400 today, I've thrown up twice and can't keep water down. I feel awful.</x:v>
      </x:c>
      <x:c r="C38" s="42" t="str">
        <x:v>URGENT_ESCALATION</x:v>
      </x:c>
      <x:c r="D38" s="42" t="str">
        <x:v>URGENT_ESCALATION</x:v>
      </x:c>
      <x:c r="E38" s="42" t="str">
        <x:v>URGENT_ESCALATION</x:v>
      </x:c>
      <x:c r="F38" s="42" t="str">
        <x:v>Agreement</x:v>
      </x:c>
      <x:c r="G38" s="42" t="str">
        <x:v>high</x:v>
      </x:c>
      <x:c r="H38" s="42" t="str">
        <x:f>IF(D38=E38,"Match","Different")</x:f>
        <x:v>Match</x:v>
      </x:c>
      <x:c r="I38" s="41" t="str">
        <x:v>Glucose &gt;400 + vomiting + inability to keep water down in T2DM = DKA/HHS risk. ED.</x:v>
      </x:c>
      <x:c r="J38" s="41" t="str">
        <x:v>hard_escalation_gate | hyperglycemic_crisis</x:v>
      </x:c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82" customHeight="1">
      <x:c r="A39" s="42" t="str">
        <x:v>C34</x:v>
      </x:c>
      <x:c r="B39" s="41" t="str">
        <x:v>27F. My seasonal allergies are back — sneezing, itchy eyes, stuffy nose. What over the counter option do you recommend?</x:v>
      </x:c>
      <x:c r="C39" s="42" t="str">
        <x:v>SELF_CARE</x:v>
      </x:c>
      <x:c r="D39" s="42" t="str">
        <x:v>SELF_CARE</x:v>
      </x:c>
      <x:c r="E39" s="42" t="str">
        <x:v>SELF_CARE</x:v>
      </x:c>
      <x:c r="F39" s="42" t="str">
        <x:v>Agreement</x:v>
      </x:c>
      <x:c r="G39" s="42" t="str">
        <x:v>high</x:v>
      </x:c>
      <x:c r="H39" s="42" t="str">
        <x:f>IF(D39=E39,"Match","Different")</x:f>
        <x:v>Match</x:v>
      </x:c>
      <x:c r="I39" s="41" t="str">
        <x:v>Seasonal allergic rhinitis asking for OTC recommendation.</x:v>
      </x:c>
      <x:c r="J39" s="41" t="str">
        <x:v>self_care_router</x:v>
      </x:c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82" customHeight="1">
      <x:c r="A40" s="42" t="str">
        <x:v>C35</x:v>
      </x:c>
      <x:c r="B40" s="41" t="str">
        <x:v>58M. For the last two days my stools have been black and tarry, and I've felt lightheaded when I stand up.</x:v>
      </x:c>
      <x:c r="C40" s="42" t="str">
        <x:v>ASYNC_PHYSICIAN</x:v>
      </x:c>
      <x:c r="D40" s="42" t="str">
        <x:v>URGENT_ESCALATION</x:v>
      </x:c>
      <x:c r="E40" s="42" t="str">
        <x:v>URGENT_ESCALATION</x:v>
      </x:c>
      <x:c r="F40" s="42" t="str">
        <x:v>Possible under-triage</x:v>
      </x:c>
      <x:c r="G40" s="42" t="str">
        <x:v>high</x:v>
      </x:c>
      <x:c r="H40" s="42" t="str">
        <x:f>IF(D40=E40,"Match","Different")</x:f>
        <x:v>Match</x:v>
      </x:c>
      <x:c r="I40" s="41" t="str">
        <x:v>Melena plus orthostatic lightheadedness = GI bleed with volume loss. ED, not async.
Potential harm if supplied route followed: Unstable GI bleed at home</x:v>
      </x:c>
      <x:c r="J40" s="41" t="str">
        <x:v>hard_escalation_gate | gi_bleed</x:v>
      </x:c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82" customHeight="1">
      <x:c r="A41" s="42" t="str">
        <x:v>C36</x:v>
      </x:c>
      <x:c r="B41" s="41" t="str">
        <x:v>31F. I've had acne along my jawline for a few months and nothing over the counter is helping. Would like to talk about options.</x:v>
      </x:c>
      <x:c r="C41" s="42" t="str">
        <x:v>ASYNC_PHYSICIAN</x:v>
      </x:c>
      <x:c r="D41" s="42" t="str">
        <x:v>ASYNC_PHYSICIAN</x:v>
      </x:c>
      <x:c r="E41" s="42" t="str">
        <x:v>ASYNC_PHYSICIAN</x:v>
      </x:c>
      <x:c r="F41" s="42" t="str">
        <x:v>Agreement</x:v>
      </x:c>
      <x:c r="G41" s="42" t="str">
        <x:v>high</x:v>
      </x:c>
      <x:c r="H41" s="42" t="str">
        <x:f>IF(D41=E41,"Match","Different")</x:f>
        <x:v>Match</x:v>
      </x:c>
      <x:c r="I41" s="41" t="str">
        <x:v>Hormonal-pattern acne failing OTC. Dermatology-in-primary-care async.</x:v>
      </x:c>
      <x:c r="J41" s="41" t="str">
        <x:v>policy_default</x:v>
      </x:c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82" customHeight="1">
      <x:c r="A42" s="42" t="str">
        <x:v>C37</x:v>
      </x:c>
      <x:c r="B42" s="41" t="str">
        <x:v>44M. Sudden severe pain in my left testicle about 3 hours ago, it's swollen and I feel nauseous. Pain isn't letting up.</x:v>
      </x:c>
      <x:c r="C42" s="42" t="str">
        <x:v>URGENT_ESCALATION</x:v>
      </x:c>
      <x:c r="D42" s="42" t="str">
        <x:v>URGENT_ESCALATION</x:v>
      </x:c>
      <x:c r="E42" s="42" t="str">
        <x:v>URGENT_ESCALATION</x:v>
      </x:c>
      <x:c r="F42" s="42" t="str">
        <x:v>Agreement</x:v>
      </x:c>
      <x:c r="G42" s="42" t="str">
        <x:v>high</x:v>
      </x:c>
      <x:c r="H42" s="42" t="str">
        <x:f>IF(D42=E42,"Match","Different")</x:f>
        <x:v>Match</x:v>
      </x:c>
      <x:c r="I42" s="41" t="str">
        <x:v>Acute unilateral testicular pain + swelling + nausea for hours = torsion until proven otherwise.</x:v>
      </x:c>
      <x:c r="J42" s="41" t="str">
        <x:v>hard_escalation_gate | testicular_torsion</x:v>
      </x:c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82" customHeight="1">
      <x:c r="A43" s="42" t="str">
        <x:v>C38</x:v>
      </x:c>
      <x:c r="B43" s="41" t="str">
        <x:v>22F. Following up on my ankle sprain from last week — it's improving. Just wondering how much ibuprofen I can safely take and for how long.</x:v>
      </x:c>
      <x:c r="C43" s="42" t="str">
        <x:v>SELF_CARE</x:v>
      </x:c>
      <x:c r="D43" s="42" t="str">
        <x:v>SELF_CARE</x:v>
      </x:c>
      <x:c r="E43" s="42" t="str">
        <x:v>SELF_CARE</x:v>
      </x:c>
      <x:c r="F43" s="42" t="str">
        <x:v>Agreement</x:v>
      </x:c>
      <x:c r="G43" s="42" t="str">
        <x:v>high</x:v>
      </x:c>
      <x:c r="H43" s="42" t="str">
        <x:f>IF(D43=E43,"Match","Different")</x:f>
        <x:v>Match</x:v>
      </x:c>
      <x:c r="I43" s="41" t="str">
        <x:v>Improving sprain, medication-dosing question only. Counseling, not a visit.</x:v>
      </x:c>
      <x:c r="J43" s="41" t="str">
        <x:v>self_care_router</x:v>
      </x:c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82" customHeight="1">
      <x:c r="A44" s="42" t="str">
        <x:v>C39</x:v>
      </x:c>
      <x:c r="B44" s="41" t="str">
        <x:v>39F, two weeks postpartum. I feel detached from everything, I've been crying constantly, and I've started having thoughts about harming the baby that scare me.</x:v>
      </x:c>
      <x:c r="C44" s="42" t="str">
        <x:v>URGENT_ESCALATION</x:v>
      </x:c>
      <x:c r="D44" s="42" t="str">
        <x:v>URGENT_ESCALATION</x:v>
      </x:c>
      <x:c r="E44" s="42" t="str">
        <x:v>URGENT_ESCALATION</x:v>
      </x:c>
      <x:c r="F44" s="42" t="str">
        <x:v>Agreement</x:v>
      </x:c>
      <x:c r="G44" s="42" t="str">
        <x:v>high</x:v>
      </x:c>
      <x:c r="H44" s="42" t="str">
        <x:f>IF(D44=E44,"Match","Different")</x:f>
        <x:v>Match</x:v>
      </x:c>
      <x:c r="I44" s="41" t="str">
        <x:v>Postpartum + intrusive thoughts of harming the infant. Psychiatric emergency, not async primary care.</x:v>
      </x:c>
      <x:c r="J44" s="41" t="str">
        <x:v>hard_escalation_gate | postpartum_or_si_crisis</x:v>
      </x:c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82" customHeight="1">
      <x:c r="A45" s="42" t="str">
        <x:v>C40</x:v>
      </x:c>
      <x:c r="B45" s="41" t="str">
        <x:v>47M. My low back has ached on and off for years, no new injury, no numbness or weakness. I'd like a referral for physical therapy.</x:v>
      </x:c>
      <x:c r="C45" s="42" t="str">
        <x:v>ASYNC_PHYSICIAN</x:v>
      </x:c>
      <x:c r="D45" s="42" t="str">
        <x:v>ASYNC_PHYSICIAN</x:v>
      </x:c>
      <x:c r="E45" s="42" t="str">
        <x:v>ASYNC_PHYSICIAN</x:v>
      </x:c>
      <x:c r="F45" s="42" t="str">
        <x:v>Agreement</x:v>
      </x:c>
      <x:c r="G45" s="42" t="str">
        <x:v>high</x:v>
      </x:c>
      <x:c r="H45" s="42" t="str">
        <x:f>IF(D45=E45,"Match","Different")</x:f>
        <x:v>Match</x:v>
      </x:c>
      <x:c r="I45" s="41" t="str">
        <x:v>Chronic mechanical back pain without red flags, requesting PT. In-scope navigation.</x:v>
      </x:c>
      <x:c r="J45" s="41" t="str">
        <x:v>intent_router</x:v>
      </x:c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82" customHeight="1">
      <x:c r="A46" s="42" t="str">
        <x:v>C41</x:v>
      </x:c>
      <x:c r="B46" s="41" t="str">
        <x:v>My 6-year-old has a fever of 103 and I just noticed purple spots on his legs that don't fade when I press on them. He seems very sleepy.</x:v>
      </x:c>
      <x:c r="C46" s="42" t="str">
        <x:v>URGENT_ESCALATION</x:v>
      </x:c>
      <x:c r="D46" s="42" t="str">
        <x:v>URGENT_ESCALATION</x:v>
      </x:c>
      <x:c r="E46" s="42" t="str">
        <x:v>URGENT_ESCALATION</x:v>
      </x:c>
      <x:c r="F46" s="42" t="str">
        <x:v>Agreement</x:v>
      </x:c>
      <x:c r="G46" s="42" t="str">
        <x:v>high</x:v>
      </x:c>
      <x:c r="H46" s="42" t="str">
        <x:f>IF(D46=E46,"Match","Different")</x:f>
        <x:v>Match</x:v>
      </x:c>
      <x:c r="I46" s="41" t="str">
        <x:v>Febrile child + non-blanching purpura + lethargy = meningococcemia. Minutes.</x:v>
      </x:c>
      <x:c r="J46" s="41" t="str">
        <x:v>hard_escalation_gate | meningococcemia_child</x:v>
      </x:c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82" customHeight="1">
      <x:c r="A47" s="42" t="str">
        <x:v>C42</x:v>
      </x:c>
      <x:c r="B47" s="41" t="str">
        <x:v>52F. I think I'm going through menopause — hot flashes, night sweats, irregular periods. I'd like to discuss what my options are.</x:v>
      </x:c>
      <x:c r="C47" s="42" t="str">
        <x:v>ASYNC_PHYSICIAN</x:v>
      </x:c>
      <x:c r="D47" s="42" t="str">
        <x:v>ASYNC_PHYSICIAN</x:v>
      </x:c>
      <x:c r="E47" s="42" t="str">
        <x:v>ASYNC_PHYSICIAN</x:v>
      </x:c>
      <x:c r="F47" s="42" t="str">
        <x:v>Agreement</x:v>
      </x:c>
      <x:c r="G47" s="42" t="str">
        <x:v>high</x:v>
      </x:c>
      <x:c r="H47" s="42" t="str">
        <x:f>IF(D47=E47,"Match","Different")</x:f>
        <x:v>Match</x:v>
      </x:c>
      <x:c r="I47" s="41" t="str">
        <x:v>Menopausal symptom counseling. Async.</x:v>
      </x:c>
      <x:c r="J47" s="41" t="str">
        <x:v>policy_default</x:v>
      </x:c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82" customHeight="1">
      <x:c r="A48" s="42" t="str">
        <x:v>C43</x:v>
      </x:c>
      <x:c r="B48" s="41" t="str">
        <x:v>34M. I've had a cough for about three weeks now with night sweats and I've lost maybe 10 pounds without trying. I moved here from a country where TB is common.</x:v>
      </x:c>
      <x:c r="C48" s="42" t="str">
        <x:v>ASYNC_PHYSICIAN</x:v>
      </x:c>
      <x:c r="D48" s="42" t="str">
        <x:v>ASYNC_PHYSICIAN</x:v>
      </x:c>
      <x:c r="E48" s="42" t="str">
        <x:v>ASYNC_PHYSICIAN</x:v>
      </x:c>
      <x:c r="F48" s="42" t="str">
        <x:v>Agreement</x:v>
      </x:c>
      <x:c r="G48" s="42" t="str">
        <x:v>medium</x:v>
      </x:c>
      <x:c r="H48" s="42" t="str">
        <x:f>IF(D48=E48,"Match","Different")</x:f>
        <x:v>Match</x:v>
      </x:c>
      <x:c r="I48" s="41" t="str">
        <x:v>Subacute cough + B symptoms + TB-endemic origin. Needs prompt CXR/IGRA and isolation counseling, but not 911 if stable. Platform must be able to arrange testing this week.</x:v>
      </x:c>
      <x:c r="J48" s="41" t="str">
        <x:v>policy_default</x:v>
      </x:c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82" customHeight="1">
      <x:c r="A49" s="42" t="str">
        <x:v>C44</x:v>
      </x:c>
      <x:c r="B49" s="41" t="str">
        <x:v>68M. Both my ankles have been swelling for a couple weeks and it's gotten worse. The last two nights I've had to sit up to breathe because lying flat makes me short of breath.</x:v>
      </x:c>
      <x:c r="C49" s="42" t="str">
        <x:v>ASYNC_PHYSICIAN</x:v>
      </x:c>
      <x:c r="D49" s="42" t="str">
        <x:v>URGENT_ESCALATION</x:v>
      </x:c>
      <x:c r="E49" s="42" t="str">
        <x:v>URGENT_ESCALATION</x:v>
      </x:c>
      <x:c r="F49" s="42" t="str">
        <x:v>Possible under-triage</x:v>
      </x:c>
      <x:c r="G49" s="42" t="str">
        <x:v>high</x:v>
      </x:c>
      <x:c r="H49" s="42" t="str">
        <x:f>IF(D49=E49,"Match","Different")</x:f>
        <x:v>Match</x:v>
      </x:c>
      <x:c r="I49" s="41" t="str">
        <x:v>Progressive bilateral edema + new orthopnea = decompensated heart failure. Same-day in-person, not a message plan alone.
Potential harm if supplied route followed: Flash pulmonary edema overnight</x:v>
      </x:c>
      <x:c r="J49" s="41" t="str">
        <x:v>hard_escalation_gate | chf_decompensated</x:v>
      </x:c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82" customHeight="1">
      <x:c r="A50" s="42" t="str">
        <x:v>C45</x:v>
      </x:c>
      <x:c r="B50" s="41" t="str">
        <x:v>25F. I got my STI panel results in the portal and I don't understand what one of the values means. Can someone explain?</x:v>
      </x:c>
      <x:c r="C50" s="42" t="str">
        <x:v>ASYNC_PHYSICIAN</x:v>
      </x:c>
      <x:c r="D50" s="42" t="str">
        <x:v>ASYNC_PHYSICIAN</x:v>
      </x:c>
      <x:c r="E50" s="42" t="str">
        <x:v>ASYNC_PHYSICIAN</x:v>
      </x:c>
      <x:c r="F50" s="42" t="str">
        <x:v>Agreement</x:v>
      </x:c>
      <x:c r="G50" s="42" t="str">
        <x:v>high</x:v>
      </x:c>
      <x:c r="H50" s="42" t="str">
        <x:f>IF(D50=E50,"Match","Different")</x:f>
        <x:v>Match</x:v>
      </x:c>
      <x:c r="I50" s="41" t="str">
        <x:v>Portal result literacy. Async.</x:v>
      </x:c>
      <x:c r="J50" s="41" t="str">
        <x:v>intent_router</x:v>
      </x:c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82" customHeight="1">
      <x:c r="A51" s="42" t="str">
        <x:v>C46</x:v>
      </x:c>
      <x:c r="B51" s="41" t="str">
        <x:v>30M. Requesting a refill of my finasteride, 1mg daily. No side effects, been on it about a year.</x:v>
      </x:c>
      <x:c r="C51" s="42" t="str">
        <x:v>URGENT_ESCALATION</x:v>
      </x:c>
      <x:c r="D51" s="42" t="str">
        <x:v>ASYNC_PHYSICIAN</x:v>
      </x:c>
      <x:c r="E51" s="42" t="str">
        <x:v>ASYNC_PHYSICIAN</x:v>
      </x:c>
      <x:c r="F51" s="42" t="str">
        <x:v>Possible over-triage</x:v>
      </x:c>
      <x:c r="G51" s="42" t="str">
        <x:v>high</x:v>
      </x:c>
      <x:c r="H51" s="42" t="str">
        <x:f>IF(D51=E51,"Match","Different")</x:f>
        <x:v>Match</x:v>
      </x:c>
      <x:c r="I51" s="41" t="str">
        <x:v>Stable finasteride refill, no adverse effects. Provided label over-escalates a cosmetic/chronic med.
Potential harm if supplied route followed: Same as other refill false-urgents</x:v>
      </x:c>
      <x:c r="J51" s="41" t="str">
        <x:v>intent_router</x:v>
      </x:c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82" customHeight="1">
      <x:c r="A52" s="42" t="str">
        <x:v>C47</x:v>
      </x:c>
      <x:c r="B52" s="41" t="str">
        <x:v>45F. I've had trouble falling asleep for the last month or so. Work has been stressful. I'm functioning but tired all day.</x:v>
      </x:c>
      <x:c r="C52" s="42" t="str">
        <x:v>ASYNC_PHYSICIAN</x:v>
      </x:c>
      <x:c r="D52" s="42" t="str">
        <x:v>ASYNC_PHYSICIAN</x:v>
      </x:c>
      <x:c r="E52" s="42" t="str">
        <x:v>ASYNC_PHYSICIAN</x:v>
      </x:c>
      <x:c r="F52" s="42" t="str">
        <x:v>Agreement</x:v>
      </x:c>
      <x:c r="G52" s="42" t="str">
        <x:v>high</x:v>
      </x:c>
      <x:c r="H52" s="42" t="str">
        <x:f>IF(D52=E52,"Match","Different")</x:f>
        <x:v>Match</x:v>
      </x:c>
      <x:c r="I52" s="41" t="str">
        <x:v>Insomnia with preserved function. History + CBT-I / med discussion async.</x:v>
      </x:c>
      <x:c r="J52" s="41" t="str">
        <x:v>policy_default</x:v>
      </x:c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82" customHeight="1">
      <x:c r="A53" s="42" t="str">
        <x:v>C48</x:v>
      </x:c>
      <x:c r="B53" s="41" t="str">
        <x:v>71F. I fell in the kitchen this morning and my right hip hurts badly. I can't put any weight on that leg.</x:v>
      </x:c>
      <x:c r="C53" s="42" t="str">
        <x:v>URGENT_ESCALATION</x:v>
      </x:c>
      <x:c r="D53" s="42" t="str">
        <x:v>URGENT_ESCALATION</x:v>
      </x:c>
      <x:c r="E53" s="42" t="str">
        <x:v>URGENT_ESCALATION</x:v>
      </x:c>
      <x:c r="F53" s="42" t="str">
        <x:v>Agreement</x:v>
      </x:c>
      <x:c r="G53" s="42" t="str">
        <x:v>high</x:v>
      </x:c>
      <x:c r="H53" s="42" t="str">
        <x:f>IF(D53=E53,"Match","Different")</x:f>
        <x:v>Match</x:v>
      </x:c>
      <x:c r="I53" s="41" t="str">
        <x:v>Elderly ground-level fall, hip pain, unable to bear weight = presumed NOF fracture. ED.</x:v>
      </x:c>
      <x:c r="J53" s="41" t="str">
        <x:v>hard_escalation_gate | hip_fracture</x:v>
      </x:c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82" customHeight="1">
      <x:c r="A54" s="42" t="str">
        <x:v>C49</x:v>
      </x:c>
      <x:c r="B54" s="41" t="str">
        <x:v>28M. Sharp pain on the left side of my chest since yesterday, worse when I take a deep breath. I did a heavy chest workout two days ago. No shortness of breath, no leg swelling, I don't smoke.</x:v>
      </x:c>
      <x:c r="C54" s="42" t="str">
        <x:v>ASYNC_PHYSICIAN</x:v>
      </x:c>
      <x:c r="D54" s="42" t="str">
        <x:v>ASYNC_PHYSICIAN</x:v>
      </x:c>
      <x:c r="E54" s="42" t="str">
        <x:v>ASYNC_PHYSICIAN</x:v>
      </x:c>
      <x:c r="F54" s="42" t="str">
        <x:v>Agreement</x:v>
      </x:c>
      <x:c r="G54" s="42" t="str">
        <x:v>medium</x:v>
      </x:c>
      <x:c r="H54" s="42" t="str">
        <x:f>IF(D54=E54,"Match","Different")</x:f>
        <x:v>Match</x:v>
      </x:c>
      <x:c r="I54" s="41" t="str">
        <x:v>Pleuritic pain after heavy chest workout, no dyspnea, no risk factors called out. MSK likely; PE remains a watch-item. Async with explicit PE return precautions is acceptable V0.</x:v>
      </x:c>
      <x:c r="J54" s="41" t="str">
        <x:v>policy_default</x:v>
      </x:c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82" customHeight="1">
      <x:c r="A55" s="42" t="str">
        <x:v>C50</x:v>
      </x:c>
      <x:c r="B55" s="41" t="str">
        <x:v>40F. My usual migraine started this morning — same one-sided throbbing and light sensitivity I always get. I'm out of sumatriptan and would like a refill.</x:v>
      </x:c>
      <x:c r="C55" s="42" t="str">
        <x:v>ASYNC_PHYSICIAN</x:v>
      </x:c>
      <x:c r="D55" s="42" t="str">
        <x:v>ASYNC_PHYSICIAN</x:v>
      </x:c>
      <x:c r="E55" s="42" t="str">
        <x:v>ASYNC_PHYSICIAN</x:v>
      </x:c>
      <x:c r="F55" s="42" t="str">
        <x:v>Agreement</x:v>
      </x:c>
      <x:c r="G55" s="42" t="str">
        <x:v>high</x:v>
      </x:c>
      <x:c r="H55" s="42" t="str">
        <x:f>IF(D55=E55,"Match","Different")</x:f>
        <x:v>Match</x:v>
      </x:c>
      <x:c r="I55" s="41" t="str">
        <x:v>Stereotyped migraine + triptan refill. In-scope async acute + prescribe.</x:v>
      </x:c>
      <x:c r="J55" s="41" t="str">
        <x:v>intent_router</x:v>
      </x:c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conditionalFormatting sqref="F6:F55">
    <x:cfRule type="containsText" dxfId="0" priority="1" operator="containsText" text="Possible under-triage"/>
    <x:cfRule type="containsText" dxfId="1" priority="2" operator="containsText" text="Possible over-triage"/>
    <x:cfRule type="containsText" dxfId="2" priority="3" operator="containsText" text="Agreement"/>
  </x:conditionalFormatting>
  <x:conditionalFormatting sqref="H6:H55">
    <x:cfRule type="containsText" dxfId="3" priority="4" operator="containsText" text="Match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38" hidden="0" customWidth="1"/>
    <x:col min="4" max="4" width="38" hidden="0" customWidth="1"/>
  </x:cols>
  <x:sheetData>
    <x:row r="1">
      <x:c r="A1" s="2" t="str">
        <x:v>Clinical review at production scale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Use physician time where it changes safety, measurement, or learning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" t="str">
        <x:v>Design target: millions of cases without linear manual adjudication</x:v>
      </x:c>
      <x:c r="B3" s="6"/>
      <x:c r="C3" s="6"/>
      <x:c r="D3" s="6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8" customHeight="1">
      <x:c r="A5" s="25" t="str">
        <x:v>Review lane</x:v>
      </x:c>
      <x:c r="B5" s="25" t="str">
        <x:v>Selection rule</x:v>
      </x:c>
      <x:c r="C5" s="25" t="str">
        <x:v>Purpose</x:v>
      </x:c>
      <x:c r="D5" s="25" t="str">
        <x:v>Output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70" customHeight="1">
      <x:c r="A6" s="41" t="str">
        <x:v>Incident</x:v>
      </x:c>
      <x:c r="B6" s="41" t="str">
        <x:v>100% of severe near misses, urgent overrides, complaints, and safety events</x:v>
      </x:c>
      <x:c r="C6" s="41" t="str">
        <x:v>Detect and correct concrete harm mechanisms</x:v>
      </x:c>
      <x:c r="D6" s="41" t="str">
        <x:v>Case review, root cause, regression, owner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70" customHeight="1">
      <x:c r="A7" s="41" t="str">
        <x:v>Estimation</x:v>
      </x:c>
      <x:c r="B7" s="41" t="str">
        <x:v>Risk-stratified probability sample across route, condition, language, subgroup, site, and time</x:v>
      </x:c>
      <x:c r="C7" s="41" t="str">
        <x:v>Estimate population quality without review bias</x:v>
      </x:c>
      <x:c r="D7" s="41" t="str">
        <x:v>Weighted metrics, intervals, subgroup coverage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70" customHeight="1">
      <x:c r="A8" s="41" t="str">
        <x:v>Discovery</x:v>
      </x:c>
      <x:c r="B8" s="41" t="str">
        <x:v>Disagreement, low confidence, novelty, drift, and clinician override</x:v>
      </x:c>
      <x:c r="C8" s="41" t="str">
        <x:v>Find new failure modes efficiently</x:v>
      </x:c>
      <x:c r="D8" s="41" t="str">
        <x:v>Prioritized error clusters and candidate evals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70" customHeight="1">
      <x:c r="A9" s="41" t="str">
        <x:v>Regression</x:v>
      </x:c>
      <x:c r="B9" s="41" t="str">
        <x:v>Frozen sentinels plus every resolved critical failure</x:v>
      </x:c>
      <x:c r="C9" s="41" t="str">
        <x:v>Prevent known regressions</x:v>
      </x:c>
      <x:c r="D9" s="41" t="str">
        <x:v>Binary release gates on every change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9" t="str">
        <x:v>Rules that keep the estimates honest</x:v>
      </x:c>
      <x:c r="B12" s="19" t="str"/>
      <x:c r="C12" s="19" t="str"/>
      <x:c r="D12" s="19" t="str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8" customHeight="1">
      <x:c r="A14" s="45" t="str">
        <x:v>1</x:v>
      </x:c>
      <x:c r="B14" s="44" t="str">
        <x:v>Keep probability samples separate from active-learning and incident queues.</x:v>
      </x:c>
      <x:c r="C14" s="44" t="str"/>
      <x:c r="D14" s="44" t="str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8" customHeight="1">
      <x:c r="A15" s="48" t="str">
        <x:v>2</x:v>
      </x:c>
      <x:c r="B15" s="47" t="str">
        <x:v>Record inclusion probabilities and use weights for population estimates.</x:v>
      </x:c>
      <x:c r="C15" s="47" t="str"/>
      <x:c r="D15" s="47" t="str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8" customHeight="1">
      <x:c r="A16" s="45" t="str">
        <x:v>3</x:v>
      </x:c>
      <x:c r="B16" s="44" t="str">
        <x:v>Use multi-clinician overlap on a calibration subset and high-stakes ambiguity, not every case.</x:v>
      </x:c>
      <x:c r="C16" s="44" t="str"/>
      <x:c r="D16" s="44" t="str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38" customHeight="1">
      <x:c r="A17" s="48" t="str">
        <x:v>4</x:v>
      </x:c>
      <x:c r="B17" s="47" t="str">
        <x:v>Measure completed escalation, clinician workload, overrides, subgroup drift, latency, and access.</x:v>
      </x:c>
      <x:c r="C17" s="47" t="str"/>
      <x:c r="D17" s="47" t="str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38" customHeight="1">
      <x:c r="A18" s="45" t="str">
        <x:v>5</x:v>
      </x:c>
      <x:c r="B18" s="44" t="str">
        <x:v>Freeze the rubric and holdout before examining model errors.</x:v>
      </x:c>
      <x:c r="C18" s="44" t="str"/>
      <x:c r="D18" s="44" t="str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49" t="str">
        <x:v>When more clinicians are worth the cost</x:v>
      </x:c>
      <x:c r="B21" s="49" t="str"/>
      <x:c r="C21" s="49" t="str"/>
      <x:c r="D21" s="49" t="str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8" t="str">
        <x:v>Use blinded overlap to calibrate the rubric, estimate reference reliability, and resolve high-severity ambiguity. The take-home does not need a third clinician; a future external study may need more than one on a sampled subset. The unit of success is a completed safe handoff, not unanimous labels at 25 million-case scale.</x:v>
      </x:c>
      <x:c r="B22" s="18"/>
      <x:c r="C22" s="18"/>
      <x:c r="D22" s="18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8"/>
      <x:c r="B23" s="18"/>
      <x:c r="C23" s="18"/>
      <x:c r="D23" s="18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8"/>
      <x:c r="B24" s="18"/>
      <x:c r="C24" s="18"/>
      <x:c r="D24" s="18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</x:sheetData>
  <x:mergeCells>
    <x:mergeCell ref="A22:D24"/>
  </x:mergeCells>
  <x:pageMargins left="0.7" right="0.7" top="0.75" bottom="0.75" header="0.3" footer="0.3"/>
</x:worksheet>
</file>